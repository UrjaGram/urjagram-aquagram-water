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Inputs" sheetId="2" state="visible" r:id="rId4"/>
    <sheet name="Capex" sheetId="3" state="visible" r:id="rId5"/>
    <sheet name="Revenue" sheetId="4" state="visible" r:id="rId6"/>
    <sheet name="CashFlow" sheetId="5" state="visible" r:id="rId7"/>
    <sheet name="Drought" sheetId="6" state="visible" r:id="rId8"/>
    <sheet name="GrantBudget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<sst xmlns="http://schemas.openxmlformats.org/spreadsheetml/2006/main" count="263" uniqueCount="211">
  <si>
    <t xml:space="preserve">Project 1 — Biodiversity and Medicinal Agroforestry: Financial Model (v2)</t>
  </si>
  <si>
    <t xml:space="preserve">Katlabodi Integrated Village Development Project · Annex D · Discussion draft, September 2026</t>
  </si>
  <si>
    <t xml:space="preserve">Purpose</t>
  </si>
  <si>
    <t xml:space="preserve">Ten-year financial view of the Project 1 demonstration site (about 5 ha plus boundary bamboo) at Katlabodi, the hub for the Katol block cluster.</t>
  </si>
  <si>
    <t xml:space="preserve">Source</t>
  </si>
  <si>
    <t xml:space="preserve">All capital, operating and revenue figures are carried over unchanged from Project1_Agroforestry__Finances.xlsx (Ayurvan Foundation working estimate). Only the calculation structure has been corrected.</t>
  </si>
  <si>
    <t xml:space="preserve">Correction 1</t>
  </si>
  <si>
    <t xml:space="preserve">Original row 47 used =SUM(C1:C46), which added the year numbers, the capital cost (twice in Year 1) and the O&amp;M line into revenue. Revenue now sums species rows only.</t>
  </si>
  <si>
    <t xml:space="preserve">Correction 2</t>
  </si>
  <si>
    <t xml:space="preserve">Original "Gross income" (row 53) subtracted O&amp;M that had already been added to revenue, so O&amp;M was never deducted in Years 2–10. O&amp;M is now deducted once.</t>
  </si>
  <si>
    <t xml:space="preserve">Correction 3</t>
  </si>
  <si>
    <t xml:space="preserve">Capital cost is now shown in the cash flow, with cumulative position and payback year.</t>
  </si>
  <si>
    <t xml:space="preserve">Funding decision</t>
  </si>
  <si>
    <t xml:space="preserve">Capital cost of Year 1 is sought within the CSR grant (budget line D1). The Year-1 operating shortfall is shown as D2.</t>
  </si>
  <si>
    <t xml:space="preserve">Drought stress test</t>
  </si>
  <si>
    <t xml:space="preserve">Sheet "Drought" applies illustrative yield losses in one drought year. Loss rates are UrjaGram assumptions for testing resilience, not observed data.</t>
  </si>
  <si>
    <t xml:space="preserve">Legend</t>
  </si>
  <si>
    <t xml:space="preserve">Blue text = hard-coded input from source estimate · Black = formula · Green = link to another sheet · Yellow fill = assumption to be validated or line to be filled.</t>
  </si>
  <si>
    <t xml:space="preserve">Open points</t>
  </si>
  <si>
    <t xml:space="preserve">(1) Basis for nursery revenue of ₹24.75 lakh in Year 1 to be documented. (2) Capex line "Staff and Workers" and Year-1 O&amp;M may overlap — to be confirmed. (3) Candidate species (lemongrass, safed musli, arjuna) not yet costed. (4) Year-2 operating shortfall falls after the grant period.</t>
  </si>
  <si>
    <t xml:space="preserve">Inputs and assumptions</t>
  </si>
  <si>
    <t xml:space="preserve">Parameter</t>
  </si>
  <si>
    <t xml:space="preserve">Value</t>
  </si>
  <si>
    <t xml:space="preserve">Unit</t>
  </si>
  <si>
    <t xml:space="preserve">Source / note</t>
  </si>
  <si>
    <t xml:space="preserve">Area — woody medicinal species</t>
  </si>
  <si>
    <t xml:space="preserve">ha</t>
  </si>
  <si>
    <t xml:space="preserve">Source estimate (Ayurvan)</t>
  </si>
  <si>
    <t xml:space="preserve">Area — fruit-bearing species</t>
  </si>
  <si>
    <t xml:space="preserve">Source estimate</t>
  </si>
  <si>
    <t xml:space="preserve">Area — fodder grass</t>
  </si>
  <si>
    <t xml:space="preserve">Area — medicinal shrubs</t>
  </si>
  <si>
    <t xml:space="preserve">Area — nursery</t>
  </si>
  <si>
    <t xml:space="preserve">Bamboo along periphery</t>
  </si>
  <si>
    <t xml:space="preserve">trees</t>
  </si>
  <si>
    <t xml:space="preserve">Nursery revenue, Year 1</t>
  </si>
  <si>
    <t xml:space="preserve">₹</t>
  </si>
  <si>
    <t xml:space="preserve">Source estimate — basis to be documented</t>
  </si>
  <si>
    <t xml:space="preserve">Nursery revenue growth per year</t>
  </si>
  <si>
    <t xml:space="preserve">%</t>
  </si>
  <si>
    <t xml:space="preserve">Drought year (1–10)</t>
  </si>
  <si>
    <t xml:space="preserve">year</t>
  </si>
  <si>
    <t xml:space="preserve">Stress-test lever; Year 2 = first full year after the 2026 drought</t>
  </si>
  <si>
    <t xml:space="preserve">Drought yield loss — woody medicinal and fruit</t>
  </si>
  <si>
    <t xml:space="preserve">UrjaGram assumption for stress test</t>
  </si>
  <si>
    <t xml:space="preserve">Drought yield loss — fodder grass</t>
  </si>
  <si>
    <t xml:space="preserve">Drought yield loss — medicinal shrubs</t>
  </si>
  <si>
    <t xml:space="preserve">Drought yield loss — nursery sales</t>
  </si>
  <si>
    <t xml:space="preserve">Drought yield loss — bamboo</t>
  </si>
  <si>
    <t xml:space="preserve">Capital expenditure — Year 1 (₹)</t>
  </si>
  <si>
    <t xml:space="preserve">Sought within the CSR grant, budget line D1</t>
  </si>
  <si>
    <t xml:space="preserve">#</t>
  </si>
  <si>
    <t xml:space="preserve">Item</t>
  </si>
  <si>
    <t xml:space="preserve">Amount (₹)</t>
  </si>
  <si>
    <t xml:space="preserve">Note</t>
  </si>
  <si>
    <t xml:space="preserve">Site Preparation, levelling, improvement of soil</t>
  </si>
  <si>
    <t xml:space="preserve">Potting and soil preparation area development</t>
  </si>
  <si>
    <t xml:space="preserve">Seeds, Saplings, planting material &amp; containers</t>
  </si>
  <si>
    <t xml:space="preserve">Shade-net / insect-proof nursery structures</t>
  </si>
  <si>
    <t xml:space="preserve">Nursery and Plantation Activities maintenance</t>
  </si>
  <si>
    <t xml:space="preserve">Fencing boundary and gate</t>
  </si>
  <si>
    <t xml:space="preserve">Water Source (Bore well)</t>
  </si>
  <si>
    <t xml:space="preserve">Soil and manure</t>
  </si>
  <si>
    <t xml:space="preserve">Construction of Over Water tank and Drip irrigation facility</t>
  </si>
  <si>
    <t xml:space="preserve">Construction of Office, staff room and toilets</t>
  </si>
  <si>
    <t xml:space="preserve">Machines and equipments (2 Nos)</t>
  </si>
  <si>
    <t xml:space="preserve">Signages, boards</t>
  </si>
  <si>
    <t xml:space="preserve">Provision of electricity or solar power system</t>
  </si>
  <si>
    <t xml:space="preserve">Staff and Workers</t>
  </si>
  <si>
    <t xml:space="preserve">Establishment-year staffing; confirm no overlap with Year-1 O&amp;M</t>
  </si>
  <si>
    <t xml:space="preserve">Contingencies</t>
  </si>
  <si>
    <t xml:space="preserve">Total capital expenditure</t>
  </si>
  <si>
    <t xml:space="preserve">Revenue by species — base case (₹)</t>
  </si>
  <si>
    <t xml:space="preserve">Species figures carried over from source estimate</t>
  </si>
  <si>
    <t xml:space="preserve">Group</t>
  </si>
  <si>
    <t xml:space="preserve">Species</t>
  </si>
  <si>
    <t xml:space="preserve">Year 1</t>
  </si>
  <si>
    <t xml:space="preserve">Year 2</t>
  </si>
  <si>
    <t xml:space="preserve">Year 3</t>
  </si>
  <si>
    <t xml:space="preserve">Year 4</t>
  </si>
  <si>
    <t xml:space="preserve">Year 5</t>
  </si>
  <si>
    <t xml:space="preserve">Year 6</t>
  </si>
  <si>
    <t xml:space="preserve">Year 7</t>
  </si>
  <si>
    <t xml:space="preserve">Year 8</t>
  </si>
  <si>
    <t xml:space="preserve">Year 9</t>
  </si>
  <si>
    <t xml:space="preserve">Year 10</t>
  </si>
  <si>
    <t xml:space="preserve">10-year total</t>
  </si>
  <si>
    <t xml:space="preserve">Woody medicinal (0.5 ha)</t>
  </si>
  <si>
    <t xml:space="preserve">Amla</t>
  </si>
  <si>
    <t xml:space="preserve">Bael</t>
  </si>
  <si>
    <t xml:space="preserve">Hirda</t>
  </si>
  <si>
    <t xml:space="preserve">Moringa</t>
  </si>
  <si>
    <t xml:space="preserve">Fruit-bearing (0.5 ha)</t>
  </si>
  <si>
    <t xml:space="preserve">Mango</t>
  </si>
  <si>
    <t xml:space="preserve">Sitaphal</t>
  </si>
  <si>
    <t xml:space="preserve">Mulberry</t>
  </si>
  <si>
    <t xml:space="preserve">Lemon</t>
  </si>
  <si>
    <t xml:space="preserve">Jamun</t>
  </si>
  <si>
    <t xml:space="preserve">Ber</t>
  </si>
  <si>
    <t xml:space="preserve">Karvanda</t>
  </si>
  <si>
    <t xml:space="preserve">Fodder grass (2 ha)</t>
  </si>
  <si>
    <t xml:space="preserve">Fodder grass</t>
  </si>
  <si>
    <t xml:space="preserve">Medicinal shrubs (1 ha)</t>
  </si>
  <si>
    <t xml:space="preserve">Ashwagandha</t>
  </si>
  <si>
    <t xml:space="preserve">Kalmegh</t>
  </si>
  <si>
    <t xml:space="preserve">Gulab</t>
  </si>
  <si>
    <t xml:space="preserve">Aloe Vera</t>
  </si>
  <si>
    <t xml:space="preserve">Brahmi</t>
  </si>
  <si>
    <t xml:space="preserve">Bamboo — 600 trees on periphery</t>
  </si>
  <si>
    <t xml:space="preserve">Bamboo</t>
  </si>
  <si>
    <t xml:space="preserve">Nursery (1 ha)</t>
  </si>
  <si>
    <t xml:space="preserve">Planting material sales</t>
  </si>
  <si>
    <t xml:space="preserve">Total revenue</t>
  </si>
  <si>
    <t xml:space="preserve">Cash flow — base case (₹)</t>
  </si>
  <si>
    <t xml:space="preserve">Undiscounted; capital cost in Year 1</t>
  </si>
  <si>
    <t xml:space="preserve">Line</t>
  </si>
  <si>
    <t xml:space="preserve">Revenue</t>
  </si>
  <si>
    <t xml:space="preserve">Operation and maintenance</t>
  </si>
  <si>
    <t xml:space="preserve">Operating surplus / (shortfall)</t>
  </si>
  <si>
    <t xml:space="preserve">Capital expenditure</t>
  </si>
  <si>
    <t xml:space="preserve">Net cash flow</t>
  </si>
  <si>
    <t xml:space="preserve">Cumulative net cash flow</t>
  </si>
  <si>
    <t xml:space="preserve">Payback flag (helper)</t>
  </si>
  <si>
    <t xml:space="preserve">Key results</t>
  </si>
  <si>
    <t xml:space="preserve">Year-1 operating shortfall (grant line D2)</t>
  </si>
  <si>
    <t xml:space="preserve">Year-2 operating shortfall (after grant period)</t>
  </si>
  <si>
    <t xml:space="preserve">First year with operating surplus</t>
  </si>
  <si>
    <t xml:space="preserve">10-year operating surplus (before capital cost)</t>
  </si>
  <si>
    <t xml:space="preserve">10-year net position (after capital cost)</t>
  </si>
  <si>
    <t xml:space="preserve">Payback year (capital cost recovered)</t>
  </si>
  <si>
    <t xml:space="preserve">Drought stress test (₹)</t>
  </si>
  <si>
    <t xml:space="preserve">One drought year (Inputs!B12) with group-wise yield losses (Inputs!B13:B17); all other years as base case</t>
  </si>
  <si>
    <t xml:space="preserve">Woody medicinal</t>
  </si>
  <si>
    <t xml:space="preserve">Fruit-bearing</t>
  </si>
  <si>
    <t xml:space="preserve">Medicinal shrubs</t>
  </si>
  <si>
    <t xml:space="preserve">Nursery</t>
  </si>
  <si>
    <t xml:space="preserve">Revenue — drought case</t>
  </si>
  <si>
    <t xml:space="preserve">Net cash flow — drought case</t>
  </si>
  <si>
    <t xml:space="preserve">Cumulative — drought case</t>
  </si>
  <si>
    <t xml:space="preserve">Comparison</t>
  </si>
  <si>
    <t xml:space="preserve">Measure</t>
  </si>
  <si>
    <t xml:space="preserve">Base case</t>
  </si>
  <si>
    <t xml:space="preserve">Drought case</t>
  </si>
  <si>
    <t xml:space="preserve">Difference</t>
  </si>
  <si>
    <t xml:space="preserve">10-year revenue</t>
  </si>
  <si>
    <t xml:space="preserve">10-year net position after capital cost</t>
  </si>
  <si>
    <t xml:space="preserve">Payback year</t>
  </si>
  <si>
    <t xml:space="preserve">CSR grant budget — year one (₹)</t>
  </si>
  <si>
    <t xml:space="preserve">Mirrors section 11 of the CSR proposal; lines B and E to be finalised</t>
  </si>
  <si>
    <t xml:space="preserve">Ref</t>
  </si>
  <si>
    <t xml:space="preserve">Component</t>
  </si>
  <si>
    <t xml:space="preserve">A</t>
  </si>
  <si>
    <t xml:space="preserve">Human capital</t>
  </si>
  <si>
    <t xml:space="preserve">A1</t>
  </si>
  <si>
    <t xml:space="preserve">Cadre training — 20 women, five cadres; 10 days a month at ₹500 a day, 12 months</t>
  </si>
  <si>
    <t xml:space="preserve">Proposal draft</t>
  </si>
  <si>
    <t xml:space="preserve">A2</t>
  </si>
  <si>
    <t xml:space="preserve">Student programme — materials, connectivity, contact sessions, classroom smart devices</t>
  </si>
  <si>
    <t xml:space="preserve">A3</t>
  </si>
  <si>
    <t xml:space="preserve">Tutor — 12 months at ₹10,000 a month</t>
  </si>
  <si>
    <t xml:space="preserve">A4</t>
  </si>
  <si>
    <t xml:space="preserve">Intern stipends — 5 engineering × ₹5,000 × 12; 5 management × ₹7,000 × 6</t>
  </si>
  <si>
    <t xml:space="preserve">A5</t>
  </si>
  <si>
    <t xml:space="preserve">Master training, exposure visits and cascade training</t>
  </si>
  <si>
    <t xml:space="preserve">B</t>
  </si>
  <si>
    <t xml:space="preserve">Platform customisation and deployment</t>
  </si>
  <si>
    <t xml:space="preserve">To be finalised with VNIT Nagpur</t>
  </si>
  <si>
    <t xml:space="preserve">B1</t>
  </si>
  <si>
    <t xml:space="preserve">Katlabodi instance and household identity spine</t>
  </si>
  <si>
    <t xml:space="preserve">B2</t>
  </si>
  <si>
    <t xml:space="preserve">VanaGram OS — agroforestry module with document-grounded advisory</t>
  </si>
  <si>
    <t xml:space="preserve">B3</t>
  </si>
  <si>
    <t xml:space="preserve">Water module rebuilt for the region</t>
  </si>
  <si>
    <t xml:space="preserve">B4</t>
  </si>
  <si>
    <t xml:space="preserve">Health and nutrition module</t>
  </si>
  <si>
    <t xml:space="preserve">B5</t>
  </si>
  <si>
    <t xml:space="preserve">Net-zero and carbon revenue module</t>
  </si>
  <si>
    <t xml:space="preserve">B6</t>
  </si>
  <si>
    <t xml:space="preserve">Data protection and security layer; Marathi consent workflow</t>
  </si>
  <si>
    <t xml:space="preserve">B7</t>
  </si>
  <si>
    <t xml:space="preserve">Open-source release</t>
  </si>
  <si>
    <t xml:space="preserve">B8</t>
  </si>
  <si>
    <t xml:space="preserve">Hosting, devices and field connectivity</t>
  </si>
  <si>
    <t xml:space="preserve">C</t>
  </si>
  <si>
    <t xml:space="preserve">Baselines and project preparation — delivered by the cadre, mentored by UrjaGram</t>
  </si>
  <si>
    <t xml:space="preserve">Nil to the grant</t>
  </si>
  <si>
    <t xml:space="preserve">D</t>
  </si>
  <si>
    <t xml:space="preserve">Project 1 — biodiversity and medicinal agroforestry hub site</t>
  </si>
  <si>
    <t xml:space="preserve">Annex D</t>
  </si>
  <si>
    <t xml:space="preserve">D1</t>
  </si>
  <si>
    <t xml:space="preserve">Capital expenditure — hub nursery and demonstration site</t>
  </si>
  <si>
    <t xml:space="preserve">Link to Capex sheet</t>
  </si>
  <si>
    <t xml:space="preserve">D2</t>
  </si>
  <si>
    <t xml:space="preserve">Year-one operating shortfall</t>
  </si>
  <si>
    <t xml:space="preserve">Link to CashFlow sheet</t>
  </si>
  <si>
    <t xml:space="preserve">E</t>
  </si>
  <si>
    <t xml:space="preserve">Programme management</t>
  </si>
  <si>
    <t xml:space="preserve">To be finalised</t>
  </si>
  <si>
    <t xml:space="preserve">E1</t>
  </si>
  <si>
    <t xml:space="preserve">Local project manager, field coordination and mobilisation</t>
  </si>
  <si>
    <t xml:space="preserve">E2</t>
  </si>
  <si>
    <t xml:space="preserve">Monitoring, documentation and reporting</t>
  </si>
  <si>
    <t xml:space="preserve">E3</t>
  </si>
  <si>
    <t xml:space="preserve">Audit and compliance</t>
  </si>
  <si>
    <t xml:space="preserve">Subtotal A — human capital</t>
  </si>
  <si>
    <t xml:space="preserve">Subtotal B — platform</t>
  </si>
  <si>
    <t xml:space="preserve">Subtotal D — Project 1</t>
  </si>
  <si>
    <t xml:space="preserve">Subtotal E — programme management</t>
  </si>
  <si>
    <t xml:space="preserve">Costed to date (A + D; B and E pending)</t>
  </si>
  <si>
    <t xml:space="preserve">Total grant sought</t>
  </si>
  <si>
    <t xml:space="preserve">Complete when B and E are costed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</si>
</sst>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.0"/>
    <numFmt numFmtId="166" formatCode="#,##0;\(#,##0\);\-"/>
    <numFmt numFmtId="167" formatCode="0.0%;\(0.0%\);\-"/>
    <numFmt numFmtId="168" formatCode="0"/>
    <numFmt numFmtId="169" formatCode="0;\(0\);\-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3D"/>
      <name val="Arial"/>
      <family val="0"/>
      <charset val="1"/>
    </font>
    <font>
      <i val="true"/>
      <sz val="9"/>
      <color rgb="FF5A5A5A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800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4E3D"/>
        <bgColor rgb="FF003366"/>
      </patternFill>
    </fill>
    <fill>
      <patternFill patternType="solid">
        <fgColor rgb="FFFFFF00"/>
        <bgColor rgb="FFFFFF00"/>
      </patternFill>
    </fill>
    <fill>
      <patternFill patternType="solid">
        <fgColor rgb="FFEAF1EE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EAF1EE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A5A5A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4E3D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1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31.5" hidden="false" customHeight="true" outlineLevel="0" collapsed="false">
      <c r="A4" s="3" t="s">
        <v>2</v>
      </c>
      <c r="B4" s="4" t="s">
        <v>3</v>
      </c>
    </row>
    <row r="5" customFormat="false" ht="31.5" hidden="false" customHeight="true" outlineLevel="0" collapsed="false">
      <c r="A5" s="3" t="s">
        <v>4</v>
      </c>
      <c r="B5" s="4" t="s">
        <v>5</v>
      </c>
    </row>
    <row r="6" customFormat="false" ht="31.5" hidden="false" customHeight="true" outlineLevel="0" collapsed="false">
      <c r="A6" s="3" t="s">
        <v>6</v>
      </c>
      <c r="B6" s="4" t="s">
        <v>7</v>
      </c>
    </row>
    <row r="7" customFormat="false" ht="31.5" hidden="false" customHeight="true" outlineLevel="0" collapsed="false">
      <c r="A7" s="3" t="s">
        <v>8</v>
      </c>
      <c r="B7" s="4" t="s">
        <v>9</v>
      </c>
    </row>
    <row r="8" customFormat="false" ht="31.5" hidden="false" customHeight="true" outlineLevel="0" collapsed="false">
      <c r="A8" s="3" t="s">
        <v>10</v>
      </c>
      <c r="B8" s="4" t="s">
        <v>11</v>
      </c>
    </row>
    <row r="9" customFormat="false" ht="31.5" hidden="false" customHeight="true" outlineLevel="0" collapsed="false">
      <c r="A9" s="3" t="s">
        <v>12</v>
      </c>
      <c r="B9" s="4" t="s">
        <v>13</v>
      </c>
    </row>
    <row r="10" customFormat="false" ht="31.5" hidden="false" customHeight="true" outlineLevel="0" collapsed="false">
      <c r="A10" s="3" t="s">
        <v>14</v>
      </c>
      <c r="B10" s="4" t="s">
        <v>15</v>
      </c>
    </row>
    <row r="11" customFormat="false" ht="31.5" hidden="false" customHeight="true" outlineLevel="0" collapsed="false">
      <c r="A11" s="3" t="s">
        <v>16</v>
      </c>
      <c r="B11" s="4" t="s">
        <v>17</v>
      </c>
    </row>
    <row r="12" customFormat="false" ht="31.5" hidden="false" customHeight="true" outlineLevel="0" collapsed="false">
      <c r="A12" s="3" t="s">
        <v>18</v>
      </c>
      <c r="B12" s="4" t="s">
        <v>19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4"/>
    <col collapsed="false" customWidth="true" hidden="false" outlineLevel="0" max="3" min="3" style="0" width="8"/>
    <col collapsed="false" customWidth="true" hidden="false" outlineLevel="0" max="4" min="4" style="0" width="62"/>
  </cols>
  <sheetData>
    <row r="1" customFormat="false" ht="17.35" hidden="false" customHeight="false" outlineLevel="0" collapsed="false">
      <c r="A1" s="1" t="s">
        <v>20</v>
      </c>
    </row>
    <row r="3" customFormat="false" ht="15" hidden="false" customHeight="false" outlineLevel="0" collapsed="false">
      <c r="A3" s="5" t="s">
        <v>21</v>
      </c>
      <c r="B3" s="5" t="s">
        <v>22</v>
      </c>
      <c r="C3" s="5" t="s">
        <v>23</v>
      </c>
      <c r="D3" s="5" t="s">
        <v>24</v>
      </c>
    </row>
    <row r="4" customFormat="false" ht="15" hidden="false" customHeight="false" outlineLevel="0" collapsed="false">
      <c r="A4" s="6" t="s">
        <v>25</v>
      </c>
      <c r="B4" s="7" t="n">
        <v>0.5</v>
      </c>
      <c r="C4" s="6" t="s">
        <v>26</v>
      </c>
      <c r="D4" s="6" t="s">
        <v>27</v>
      </c>
    </row>
    <row r="5" customFormat="false" ht="15" hidden="false" customHeight="false" outlineLevel="0" collapsed="false">
      <c r="A5" s="6" t="s">
        <v>28</v>
      </c>
      <c r="B5" s="7" t="n">
        <v>0.5</v>
      </c>
      <c r="C5" s="6" t="s">
        <v>26</v>
      </c>
      <c r="D5" s="6" t="s">
        <v>29</v>
      </c>
    </row>
    <row r="6" customFormat="false" ht="15" hidden="false" customHeight="false" outlineLevel="0" collapsed="false">
      <c r="A6" s="6" t="s">
        <v>30</v>
      </c>
      <c r="B6" s="8" t="n">
        <v>2</v>
      </c>
      <c r="C6" s="6" t="s">
        <v>26</v>
      </c>
      <c r="D6" s="6" t="s">
        <v>29</v>
      </c>
    </row>
    <row r="7" customFormat="false" ht="15" hidden="false" customHeight="false" outlineLevel="0" collapsed="false">
      <c r="A7" s="6" t="s">
        <v>31</v>
      </c>
      <c r="B7" s="7" t="n">
        <v>1</v>
      </c>
      <c r="C7" s="6" t="s">
        <v>26</v>
      </c>
      <c r="D7" s="6" t="s">
        <v>29</v>
      </c>
    </row>
    <row r="8" customFormat="false" ht="15" hidden="false" customHeight="false" outlineLevel="0" collapsed="false">
      <c r="A8" s="6" t="s">
        <v>32</v>
      </c>
      <c r="B8" s="7" t="n">
        <v>1</v>
      </c>
      <c r="C8" s="6" t="s">
        <v>26</v>
      </c>
      <c r="D8" s="6" t="s">
        <v>29</v>
      </c>
    </row>
    <row r="9" customFormat="false" ht="15" hidden="false" customHeight="false" outlineLevel="0" collapsed="false">
      <c r="A9" s="6" t="s">
        <v>33</v>
      </c>
      <c r="B9" s="7" t="n">
        <v>600</v>
      </c>
      <c r="C9" s="6" t="s">
        <v>34</v>
      </c>
      <c r="D9" s="6" t="s">
        <v>29</v>
      </c>
    </row>
    <row r="10" customFormat="false" ht="15" hidden="false" customHeight="false" outlineLevel="0" collapsed="false">
      <c r="A10" s="6" t="s">
        <v>35</v>
      </c>
      <c r="B10" s="9" t="n">
        <v>2475000</v>
      </c>
      <c r="C10" s="6" t="s">
        <v>36</v>
      </c>
      <c r="D10" s="6" t="s">
        <v>37</v>
      </c>
    </row>
    <row r="11" customFormat="false" ht="15" hidden="false" customHeight="false" outlineLevel="0" collapsed="false">
      <c r="A11" s="6" t="s">
        <v>38</v>
      </c>
      <c r="B11" s="10" t="n">
        <v>0.05</v>
      </c>
      <c r="C11" s="6" t="s">
        <v>39</v>
      </c>
      <c r="D11" s="6" t="s">
        <v>29</v>
      </c>
    </row>
    <row r="12" customFormat="false" ht="15" hidden="false" customHeight="false" outlineLevel="0" collapsed="false">
      <c r="A12" s="6" t="s">
        <v>40</v>
      </c>
      <c r="B12" s="11" t="n">
        <v>2</v>
      </c>
      <c r="C12" s="6" t="s">
        <v>41</v>
      </c>
      <c r="D12" s="6" t="s">
        <v>42</v>
      </c>
    </row>
    <row r="13" customFormat="false" ht="15" hidden="false" customHeight="false" outlineLevel="0" collapsed="false">
      <c r="A13" s="6" t="s">
        <v>43</v>
      </c>
      <c r="B13" s="12" t="n">
        <v>0.3</v>
      </c>
      <c r="C13" s="6" t="s">
        <v>39</v>
      </c>
      <c r="D13" s="6" t="s">
        <v>44</v>
      </c>
    </row>
    <row r="14" customFormat="false" ht="15" hidden="false" customHeight="false" outlineLevel="0" collapsed="false">
      <c r="A14" s="6" t="s">
        <v>45</v>
      </c>
      <c r="B14" s="12" t="n">
        <v>0.6</v>
      </c>
      <c r="C14" s="6" t="s">
        <v>39</v>
      </c>
      <c r="D14" s="6" t="s">
        <v>44</v>
      </c>
    </row>
    <row r="15" customFormat="false" ht="15" hidden="false" customHeight="false" outlineLevel="0" collapsed="false">
      <c r="A15" s="6" t="s">
        <v>46</v>
      </c>
      <c r="B15" s="12" t="n">
        <v>0.5</v>
      </c>
      <c r="C15" s="6" t="s">
        <v>39</v>
      </c>
      <c r="D15" s="6" t="s">
        <v>44</v>
      </c>
    </row>
    <row r="16" customFormat="false" ht="15" hidden="false" customHeight="false" outlineLevel="0" collapsed="false">
      <c r="A16" s="6" t="s">
        <v>47</v>
      </c>
      <c r="B16" s="12" t="n">
        <v>0.4</v>
      </c>
      <c r="C16" s="6" t="s">
        <v>39</v>
      </c>
      <c r="D16" s="6" t="s">
        <v>44</v>
      </c>
    </row>
    <row r="17" customFormat="false" ht="15" hidden="false" customHeight="false" outlineLevel="0" collapsed="false">
      <c r="A17" s="6" t="s">
        <v>48</v>
      </c>
      <c r="B17" s="12" t="n">
        <v>0.1</v>
      </c>
      <c r="C17" s="6" t="s">
        <v>39</v>
      </c>
      <c r="D17" s="6" t="s">
        <v>44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58"/>
    <col collapsed="false" customWidth="true" hidden="false" outlineLevel="0" max="3" min="3" style="0" width="16"/>
    <col collapsed="false" customWidth="true" hidden="false" outlineLevel="0" max="4" min="4" style="0" width="58"/>
  </cols>
  <sheetData>
    <row r="1" customFormat="false" ht="17.35" hidden="false" customHeight="false" outlineLevel="0" collapsed="false">
      <c r="A1" s="1" t="s">
        <v>49</v>
      </c>
    </row>
    <row r="2" customFormat="false" ht="15" hidden="false" customHeight="false" outlineLevel="0" collapsed="false">
      <c r="A2" s="2" t="s">
        <v>50</v>
      </c>
    </row>
    <row r="3" customFormat="false" ht="15" hidden="false" customHeight="false" outlineLevel="0" collapsed="false">
      <c r="A3" s="5" t="s">
        <v>51</v>
      </c>
      <c r="B3" s="5" t="s">
        <v>52</v>
      </c>
      <c r="C3" s="5" t="s">
        <v>53</v>
      </c>
      <c r="D3" s="5" t="s">
        <v>54</v>
      </c>
    </row>
    <row r="4" customFormat="false" ht="15" hidden="false" customHeight="false" outlineLevel="0" collapsed="false">
      <c r="A4" s="6" t="n">
        <v>1</v>
      </c>
      <c r="B4" s="6" t="s">
        <v>55</v>
      </c>
      <c r="C4" s="13" t="n">
        <v>950000</v>
      </c>
      <c r="D4" s="14"/>
    </row>
    <row r="5" customFormat="false" ht="15" hidden="false" customHeight="false" outlineLevel="0" collapsed="false">
      <c r="A5" s="6" t="n">
        <v>2</v>
      </c>
      <c r="B5" s="6" t="s">
        <v>56</v>
      </c>
      <c r="C5" s="13" t="n">
        <v>450000</v>
      </c>
      <c r="D5" s="14"/>
    </row>
    <row r="6" customFormat="false" ht="15" hidden="false" customHeight="false" outlineLevel="0" collapsed="false">
      <c r="A6" s="6" t="n">
        <v>3</v>
      </c>
      <c r="B6" s="6" t="s">
        <v>57</v>
      </c>
      <c r="C6" s="13" t="n">
        <v>550000</v>
      </c>
      <c r="D6" s="14"/>
    </row>
    <row r="7" customFormat="false" ht="15" hidden="false" customHeight="false" outlineLevel="0" collapsed="false">
      <c r="A7" s="6" t="n">
        <v>4</v>
      </c>
      <c r="B7" s="6" t="s">
        <v>58</v>
      </c>
      <c r="C7" s="13" t="n">
        <v>1675000</v>
      </c>
      <c r="D7" s="14"/>
    </row>
    <row r="8" customFormat="false" ht="15" hidden="false" customHeight="false" outlineLevel="0" collapsed="false">
      <c r="A8" s="6" t="n">
        <v>5</v>
      </c>
      <c r="B8" s="6" t="s">
        <v>59</v>
      </c>
      <c r="C8" s="13" t="n">
        <v>350000</v>
      </c>
      <c r="D8" s="14"/>
    </row>
    <row r="9" customFormat="false" ht="15" hidden="false" customHeight="false" outlineLevel="0" collapsed="false">
      <c r="A9" s="6" t="n">
        <v>6</v>
      </c>
      <c r="B9" s="6" t="s">
        <v>60</v>
      </c>
      <c r="C9" s="13" t="n">
        <v>1800000</v>
      </c>
      <c r="D9" s="14"/>
    </row>
    <row r="10" customFormat="false" ht="15" hidden="false" customHeight="false" outlineLevel="0" collapsed="false">
      <c r="A10" s="6" t="n">
        <v>7</v>
      </c>
      <c r="B10" s="6" t="s">
        <v>61</v>
      </c>
      <c r="C10" s="13" t="n">
        <v>1600000</v>
      </c>
      <c r="D10" s="14"/>
    </row>
    <row r="11" customFormat="false" ht="15" hidden="false" customHeight="false" outlineLevel="0" collapsed="false">
      <c r="A11" s="6" t="n">
        <v>8</v>
      </c>
      <c r="B11" s="6" t="s">
        <v>62</v>
      </c>
      <c r="C11" s="13" t="n">
        <v>550000</v>
      </c>
      <c r="D11" s="14"/>
    </row>
    <row r="12" customFormat="false" ht="15" hidden="false" customHeight="false" outlineLevel="0" collapsed="false">
      <c r="A12" s="6" t="n">
        <v>9</v>
      </c>
      <c r="B12" s="6" t="s">
        <v>63</v>
      </c>
      <c r="C12" s="13" t="n">
        <v>1850000</v>
      </c>
      <c r="D12" s="14"/>
    </row>
    <row r="13" customFormat="false" ht="15" hidden="false" customHeight="false" outlineLevel="0" collapsed="false">
      <c r="A13" s="6" t="n">
        <v>10</v>
      </c>
      <c r="B13" s="6" t="s">
        <v>64</v>
      </c>
      <c r="C13" s="13" t="n">
        <v>850000</v>
      </c>
      <c r="D13" s="14"/>
    </row>
    <row r="14" customFormat="false" ht="15" hidden="false" customHeight="false" outlineLevel="0" collapsed="false">
      <c r="A14" s="6" t="n">
        <v>11</v>
      </c>
      <c r="B14" s="6" t="s">
        <v>65</v>
      </c>
      <c r="C14" s="13" t="n">
        <v>1450000</v>
      </c>
      <c r="D14" s="14"/>
    </row>
    <row r="15" customFormat="false" ht="15" hidden="false" customHeight="false" outlineLevel="0" collapsed="false">
      <c r="A15" s="6" t="n">
        <v>12</v>
      </c>
      <c r="B15" s="6" t="s">
        <v>66</v>
      </c>
      <c r="C15" s="13" t="n">
        <v>550000</v>
      </c>
      <c r="D15" s="14"/>
    </row>
    <row r="16" customFormat="false" ht="15" hidden="false" customHeight="false" outlineLevel="0" collapsed="false">
      <c r="A16" s="6" t="n">
        <v>13</v>
      </c>
      <c r="B16" s="6" t="s">
        <v>67</v>
      </c>
      <c r="C16" s="13" t="n">
        <v>1650000</v>
      </c>
      <c r="D16" s="14"/>
    </row>
    <row r="17" customFormat="false" ht="15" hidden="false" customHeight="false" outlineLevel="0" collapsed="false">
      <c r="A17" s="6" t="n">
        <v>14</v>
      </c>
      <c r="B17" s="6" t="s">
        <v>68</v>
      </c>
      <c r="C17" s="9" t="n">
        <v>1956000</v>
      </c>
      <c r="D17" s="6" t="s">
        <v>69</v>
      </c>
    </row>
    <row r="18" customFormat="false" ht="15" hidden="false" customHeight="false" outlineLevel="0" collapsed="false">
      <c r="A18" s="6" t="n">
        <v>15</v>
      </c>
      <c r="B18" s="6" t="s">
        <v>70</v>
      </c>
      <c r="C18" s="13" t="n">
        <v>275000</v>
      </c>
      <c r="D18" s="14"/>
    </row>
    <row r="19" customFormat="false" ht="15" hidden="false" customHeight="false" outlineLevel="0" collapsed="false">
      <c r="B19" s="15" t="s">
        <v>71</v>
      </c>
      <c r="C19" s="16" t="n">
        <f aca="false">SUM(C4:C18)</f>
        <v>16506000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26"/>
    <col collapsed="false" customWidth="true" hidden="false" outlineLevel="0" max="13" min="3" style="0" width="12.5"/>
  </cols>
  <sheetData>
    <row r="1" customFormat="false" ht="17.35" hidden="false" customHeight="false" outlineLevel="0" collapsed="false">
      <c r="A1" s="1" t="s">
        <v>72</v>
      </c>
    </row>
    <row r="2" customFormat="false" ht="15" hidden="false" customHeight="false" outlineLevel="0" collapsed="false">
      <c r="A2" s="2" t="s">
        <v>73</v>
      </c>
    </row>
    <row r="3" customFormat="false" ht="15" hidden="false" customHeight="false" outlineLevel="0" collapsed="false">
      <c r="A3" s="5" t="s">
        <v>74</v>
      </c>
      <c r="B3" s="5" t="s">
        <v>75</v>
      </c>
      <c r="C3" s="5" t="s">
        <v>76</v>
      </c>
      <c r="D3" s="5" t="s">
        <v>77</v>
      </c>
      <c r="E3" s="5" t="s">
        <v>78</v>
      </c>
      <c r="F3" s="5" t="s">
        <v>79</v>
      </c>
      <c r="G3" s="5" t="s">
        <v>80</v>
      </c>
      <c r="H3" s="5" t="s">
        <v>81</v>
      </c>
      <c r="I3" s="5" t="s">
        <v>82</v>
      </c>
      <c r="J3" s="5" t="s">
        <v>83</v>
      </c>
      <c r="K3" s="5" t="s">
        <v>84</v>
      </c>
      <c r="L3" s="5" t="s">
        <v>85</v>
      </c>
      <c r="M3" s="5" t="s">
        <v>86</v>
      </c>
    </row>
    <row r="4" customFormat="false" ht="15" hidden="false" customHeight="false" outlineLevel="0" collapsed="false">
      <c r="A4" s="17" t="s">
        <v>87</v>
      </c>
      <c r="B4" s="6" t="s">
        <v>88</v>
      </c>
      <c r="C4" s="13" t="n">
        <v>0</v>
      </c>
      <c r="D4" s="13" t="n">
        <v>0</v>
      </c>
      <c r="E4" s="13" t="n">
        <v>30000</v>
      </c>
      <c r="F4" s="13" t="n">
        <v>50000</v>
      </c>
      <c r="G4" s="13" t="n">
        <v>75000</v>
      </c>
      <c r="H4" s="13" t="n">
        <v>90000</v>
      </c>
      <c r="I4" s="13" t="n">
        <v>100000</v>
      </c>
      <c r="J4" s="13" t="n">
        <v>110000</v>
      </c>
      <c r="K4" s="13" t="n">
        <v>120000</v>
      </c>
      <c r="L4" s="13" t="n">
        <v>130000</v>
      </c>
      <c r="M4" s="18" t="n">
        <f aca="false">SUM(C4:L4)</f>
        <v>705000</v>
      </c>
    </row>
    <row r="5" customFormat="false" ht="15" hidden="false" customHeight="false" outlineLevel="0" collapsed="false">
      <c r="A5" s="6"/>
      <c r="B5" s="6" t="s">
        <v>89</v>
      </c>
      <c r="C5" s="13" t="n">
        <v>0</v>
      </c>
      <c r="D5" s="13" t="n">
        <v>0</v>
      </c>
      <c r="E5" s="13" t="n">
        <v>20000</v>
      </c>
      <c r="F5" s="13" t="n">
        <v>35000</v>
      </c>
      <c r="G5" s="13" t="n">
        <v>50000</v>
      </c>
      <c r="H5" s="13" t="n">
        <v>65000</v>
      </c>
      <c r="I5" s="13" t="n">
        <v>75000</v>
      </c>
      <c r="J5" s="13" t="n">
        <v>85000</v>
      </c>
      <c r="K5" s="13" t="n">
        <v>95000</v>
      </c>
      <c r="L5" s="13" t="n">
        <v>105000</v>
      </c>
      <c r="M5" s="18" t="n">
        <f aca="false">SUM(C5:L5)</f>
        <v>530000</v>
      </c>
    </row>
    <row r="6" customFormat="false" ht="15" hidden="false" customHeight="false" outlineLevel="0" collapsed="false">
      <c r="A6" s="6"/>
      <c r="B6" s="6" t="s">
        <v>90</v>
      </c>
      <c r="C6" s="13" t="n">
        <v>0</v>
      </c>
      <c r="D6" s="13" t="n">
        <v>0</v>
      </c>
      <c r="E6" s="13" t="n">
        <v>0</v>
      </c>
      <c r="F6" s="13" t="n">
        <v>15000</v>
      </c>
      <c r="G6" s="13" t="n">
        <v>30000</v>
      </c>
      <c r="H6" s="13" t="n">
        <v>45000</v>
      </c>
      <c r="I6" s="13" t="n">
        <v>60000</v>
      </c>
      <c r="J6" s="13" t="n">
        <v>75000</v>
      </c>
      <c r="K6" s="13" t="n">
        <v>90000</v>
      </c>
      <c r="L6" s="13" t="n">
        <v>105000</v>
      </c>
      <c r="M6" s="18" t="n">
        <f aca="false">SUM(C6:L6)</f>
        <v>420000</v>
      </c>
    </row>
    <row r="7" customFormat="false" ht="15" hidden="false" customHeight="false" outlineLevel="0" collapsed="false">
      <c r="A7" s="6"/>
      <c r="B7" s="6" t="s">
        <v>91</v>
      </c>
      <c r="C7" s="13" t="n">
        <v>40000</v>
      </c>
      <c r="D7" s="13" t="n">
        <v>50000</v>
      </c>
      <c r="E7" s="13" t="n">
        <v>60000</v>
      </c>
      <c r="F7" s="13" t="n">
        <v>70000</v>
      </c>
      <c r="G7" s="13" t="n">
        <v>75000</v>
      </c>
      <c r="H7" s="13" t="n">
        <v>80000</v>
      </c>
      <c r="I7" s="13" t="n">
        <v>85000</v>
      </c>
      <c r="J7" s="13" t="n">
        <v>90000</v>
      </c>
      <c r="K7" s="13" t="n">
        <v>95000</v>
      </c>
      <c r="L7" s="13" t="n">
        <v>100000</v>
      </c>
      <c r="M7" s="18" t="n">
        <f aca="false">SUM(C7:L7)</f>
        <v>745000</v>
      </c>
    </row>
    <row r="8" customFormat="false" ht="15" hidden="false" customHeight="false" outlineLevel="0" collapsed="false">
      <c r="A8" s="17" t="s">
        <v>92</v>
      </c>
      <c r="B8" s="6" t="s">
        <v>93</v>
      </c>
      <c r="C8" s="13" t="n">
        <v>0</v>
      </c>
      <c r="D8" s="13" t="n">
        <v>0</v>
      </c>
      <c r="E8" s="13" t="n">
        <v>110000</v>
      </c>
      <c r="F8" s="13" t="n">
        <v>232000</v>
      </c>
      <c r="G8" s="13" t="n">
        <v>365000</v>
      </c>
      <c r="H8" s="13" t="n">
        <v>479000</v>
      </c>
      <c r="I8" s="13" t="n">
        <v>570000</v>
      </c>
      <c r="J8" s="13" t="n">
        <v>633000</v>
      </c>
      <c r="K8" s="13" t="n">
        <v>702000</v>
      </c>
      <c r="L8" s="13" t="n">
        <v>776000</v>
      </c>
      <c r="M8" s="18" t="n">
        <f aca="false">SUM(C8:L8)</f>
        <v>3867000</v>
      </c>
    </row>
    <row r="9" customFormat="false" ht="15" hidden="false" customHeight="false" outlineLevel="0" collapsed="false">
      <c r="A9" s="6"/>
      <c r="B9" s="6" t="s">
        <v>94</v>
      </c>
      <c r="C9" s="13" t="n">
        <v>0</v>
      </c>
      <c r="D9" s="13" t="n">
        <v>0</v>
      </c>
      <c r="E9" s="13" t="n">
        <v>198000</v>
      </c>
      <c r="F9" s="13" t="n">
        <v>347000</v>
      </c>
      <c r="G9" s="13" t="n">
        <v>511000</v>
      </c>
      <c r="H9" s="13" t="n">
        <v>613000</v>
      </c>
      <c r="I9" s="13" t="n">
        <v>724000</v>
      </c>
      <c r="J9" s="13" t="n">
        <v>802000</v>
      </c>
      <c r="K9" s="13" t="n">
        <v>886000</v>
      </c>
      <c r="L9" s="13" t="n">
        <v>931000</v>
      </c>
      <c r="M9" s="18" t="n">
        <f aca="false">SUM(C9:L9)</f>
        <v>5012000</v>
      </c>
    </row>
    <row r="10" customFormat="false" ht="15" hidden="false" customHeight="false" outlineLevel="0" collapsed="false">
      <c r="A10" s="6"/>
      <c r="B10" s="6" t="s">
        <v>95</v>
      </c>
      <c r="C10" s="13" t="n">
        <v>0</v>
      </c>
      <c r="D10" s="13" t="n">
        <v>88000</v>
      </c>
      <c r="E10" s="13" t="n">
        <v>185000</v>
      </c>
      <c r="F10" s="13" t="n">
        <v>259000</v>
      </c>
      <c r="G10" s="13" t="n">
        <v>306000</v>
      </c>
      <c r="H10" s="13" t="n">
        <v>357000</v>
      </c>
      <c r="I10" s="13" t="n">
        <v>375000</v>
      </c>
      <c r="J10" s="13" t="n">
        <v>394000</v>
      </c>
      <c r="K10" s="13" t="n">
        <v>414000</v>
      </c>
      <c r="L10" s="13" t="n">
        <v>434000</v>
      </c>
      <c r="M10" s="18" t="n">
        <f aca="false">SUM(C10:L10)</f>
        <v>2812000</v>
      </c>
    </row>
    <row r="11" customFormat="false" ht="15" hidden="false" customHeight="false" outlineLevel="0" collapsed="false">
      <c r="A11" s="6"/>
      <c r="B11" s="6" t="s">
        <v>96</v>
      </c>
      <c r="C11" s="13" t="n">
        <v>0</v>
      </c>
      <c r="D11" s="13" t="n">
        <v>243000</v>
      </c>
      <c r="E11" s="13" t="n">
        <v>509000</v>
      </c>
      <c r="F11" s="13" t="n">
        <v>713000</v>
      </c>
      <c r="G11" s="13" t="n">
        <v>842000</v>
      </c>
      <c r="H11" s="13" t="n">
        <v>983000</v>
      </c>
      <c r="I11" s="13" t="n">
        <v>1032000</v>
      </c>
      <c r="J11" s="13" t="n">
        <v>1083000</v>
      </c>
      <c r="K11" s="13" t="n">
        <v>1138000</v>
      </c>
      <c r="L11" s="13" t="n">
        <v>1195000</v>
      </c>
      <c r="M11" s="18" t="n">
        <f aca="false">SUM(C11:L11)</f>
        <v>7738000</v>
      </c>
    </row>
    <row r="12" customFormat="false" ht="15" hidden="false" customHeight="false" outlineLevel="0" collapsed="false">
      <c r="A12" s="6"/>
      <c r="B12" s="6" t="s">
        <v>97</v>
      </c>
      <c r="C12" s="13" t="n">
        <v>0</v>
      </c>
      <c r="D12" s="13" t="n">
        <v>0</v>
      </c>
      <c r="E12" s="13" t="n">
        <v>0</v>
      </c>
      <c r="F12" s="13" t="n">
        <v>116000</v>
      </c>
      <c r="G12" s="13" t="n">
        <v>243000</v>
      </c>
      <c r="H12" s="13" t="n">
        <v>383000</v>
      </c>
      <c r="I12" s="13" t="n">
        <v>503000</v>
      </c>
      <c r="J12" s="13" t="n">
        <v>598000</v>
      </c>
      <c r="K12" s="13" t="n">
        <v>702000</v>
      </c>
      <c r="L12" s="13" t="n">
        <v>776000</v>
      </c>
      <c r="M12" s="18" t="n">
        <f aca="false">SUM(C12:L12)</f>
        <v>3321000</v>
      </c>
    </row>
    <row r="13" customFormat="false" ht="15" hidden="false" customHeight="false" outlineLevel="0" collapsed="false">
      <c r="A13" s="6"/>
      <c r="B13" s="6" t="s">
        <v>98</v>
      </c>
      <c r="C13" s="13" t="n">
        <v>0</v>
      </c>
      <c r="D13" s="13" t="n">
        <v>0</v>
      </c>
      <c r="E13" s="13" t="n">
        <v>132000</v>
      </c>
      <c r="F13" s="13" t="n">
        <v>232000</v>
      </c>
      <c r="G13" s="13" t="n">
        <v>340000</v>
      </c>
      <c r="H13" s="13" t="n">
        <v>434000</v>
      </c>
      <c r="I13" s="13" t="n">
        <v>509000</v>
      </c>
      <c r="J13" s="13" t="n">
        <v>563000</v>
      </c>
      <c r="K13" s="13" t="n">
        <v>591000</v>
      </c>
      <c r="L13" s="13" t="n">
        <v>621000</v>
      </c>
      <c r="M13" s="18" t="n">
        <f aca="false">SUM(C13:L13)</f>
        <v>3422000</v>
      </c>
    </row>
    <row r="14" customFormat="false" ht="15" hidden="false" customHeight="false" outlineLevel="0" collapsed="false">
      <c r="A14" s="6"/>
      <c r="B14" s="6" t="s">
        <v>99</v>
      </c>
      <c r="C14" s="13" t="n">
        <v>0</v>
      </c>
      <c r="D14" s="13" t="n">
        <v>126000</v>
      </c>
      <c r="E14" s="13" t="n">
        <v>265000</v>
      </c>
      <c r="F14" s="13" t="n">
        <v>370000</v>
      </c>
      <c r="G14" s="13" t="n">
        <v>438000</v>
      </c>
      <c r="H14" s="13" t="n">
        <v>511000</v>
      </c>
      <c r="I14" s="13" t="n">
        <v>536000</v>
      </c>
      <c r="J14" s="13" t="n">
        <v>563000</v>
      </c>
      <c r="K14" s="13" t="n">
        <v>591000</v>
      </c>
      <c r="L14" s="13" t="n">
        <v>621000</v>
      </c>
      <c r="M14" s="18" t="n">
        <f aca="false">SUM(C14:L14)</f>
        <v>4021000</v>
      </c>
    </row>
    <row r="15" customFormat="false" ht="15" hidden="false" customHeight="false" outlineLevel="0" collapsed="false">
      <c r="A15" s="17" t="s">
        <v>100</v>
      </c>
      <c r="B15" s="6" t="s">
        <v>101</v>
      </c>
      <c r="C15" s="13" t="n">
        <v>252000</v>
      </c>
      <c r="D15" s="13" t="n">
        <v>378000</v>
      </c>
      <c r="E15" s="13" t="n">
        <v>396900</v>
      </c>
      <c r="F15" s="13" t="n">
        <v>416700</v>
      </c>
      <c r="G15" s="13" t="n">
        <v>437580</v>
      </c>
      <c r="H15" s="13" t="n">
        <v>459360</v>
      </c>
      <c r="I15" s="13" t="n">
        <v>482400</v>
      </c>
      <c r="J15" s="13" t="n">
        <v>506520</v>
      </c>
      <c r="K15" s="13" t="n">
        <v>531900</v>
      </c>
      <c r="L15" s="13" t="n">
        <v>558540</v>
      </c>
      <c r="M15" s="18" t="n">
        <f aca="false">SUM(C15:L15)</f>
        <v>4419900</v>
      </c>
    </row>
    <row r="16" customFormat="false" ht="15" hidden="false" customHeight="false" outlineLevel="0" collapsed="false">
      <c r="A16" s="17" t="s">
        <v>102</v>
      </c>
      <c r="B16" s="6" t="s">
        <v>103</v>
      </c>
      <c r="C16" s="13" t="n">
        <v>11700</v>
      </c>
      <c r="D16" s="13" t="n">
        <v>12300</v>
      </c>
      <c r="E16" s="13" t="n">
        <v>12900</v>
      </c>
      <c r="F16" s="13" t="n">
        <v>14200</v>
      </c>
      <c r="G16" s="13" t="n">
        <v>14900</v>
      </c>
      <c r="H16" s="13" t="n">
        <v>15700</v>
      </c>
      <c r="I16" s="13" t="n">
        <v>16400</v>
      </c>
      <c r="J16" s="13" t="n">
        <v>17200</v>
      </c>
      <c r="K16" s="13" t="n">
        <v>18100</v>
      </c>
      <c r="L16" s="13" t="n">
        <v>19000</v>
      </c>
      <c r="M16" s="18" t="n">
        <f aca="false">SUM(C16:L16)</f>
        <v>152400</v>
      </c>
    </row>
    <row r="17" customFormat="false" ht="15" hidden="false" customHeight="false" outlineLevel="0" collapsed="false">
      <c r="A17" s="6"/>
      <c r="B17" s="6" t="s">
        <v>104</v>
      </c>
      <c r="C17" s="13" t="n">
        <v>9100</v>
      </c>
      <c r="D17" s="13" t="n">
        <v>9600</v>
      </c>
      <c r="E17" s="13" t="n">
        <v>10100</v>
      </c>
      <c r="F17" s="13" t="n">
        <v>11100</v>
      </c>
      <c r="G17" s="13" t="n">
        <v>11700</v>
      </c>
      <c r="H17" s="13" t="n">
        <v>12200</v>
      </c>
      <c r="I17" s="13" t="n">
        <v>12800</v>
      </c>
      <c r="J17" s="13" t="n">
        <v>13500</v>
      </c>
      <c r="K17" s="13" t="n">
        <v>14100</v>
      </c>
      <c r="L17" s="13" t="n">
        <v>14900</v>
      </c>
      <c r="M17" s="18" t="n">
        <f aca="false">SUM(C17:L17)</f>
        <v>119100</v>
      </c>
    </row>
    <row r="18" customFormat="false" ht="15" hidden="false" customHeight="false" outlineLevel="0" collapsed="false">
      <c r="A18" s="6"/>
      <c r="B18" s="6" t="s">
        <v>105</v>
      </c>
      <c r="C18" s="13" t="n">
        <v>12000</v>
      </c>
      <c r="D18" s="13" t="n">
        <v>12600</v>
      </c>
      <c r="E18" s="13" t="n">
        <v>13200</v>
      </c>
      <c r="F18" s="13" t="n">
        <v>14600</v>
      </c>
      <c r="G18" s="13" t="n">
        <v>15300</v>
      </c>
      <c r="H18" s="13" t="n">
        <v>16100</v>
      </c>
      <c r="I18" s="13" t="n">
        <v>16900</v>
      </c>
      <c r="J18" s="13" t="n">
        <v>17700</v>
      </c>
      <c r="K18" s="13" t="n">
        <v>18600</v>
      </c>
      <c r="L18" s="13" t="n">
        <v>19500</v>
      </c>
      <c r="M18" s="18" t="n">
        <f aca="false">SUM(C18:L18)</f>
        <v>156500</v>
      </c>
    </row>
    <row r="19" customFormat="false" ht="15" hidden="false" customHeight="false" outlineLevel="0" collapsed="false">
      <c r="A19" s="6"/>
      <c r="B19" s="6" t="s">
        <v>106</v>
      </c>
      <c r="C19" s="13" t="n">
        <v>0</v>
      </c>
      <c r="D19" s="13" t="n">
        <v>31500</v>
      </c>
      <c r="E19" s="13" t="n">
        <v>66200</v>
      </c>
      <c r="F19" s="13" t="n">
        <v>69400</v>
      </c>
      <c r="G19" s="13" t="n">
        <v>72900</v>
      </c>
      <c r="H19" s="13" t="n">
        <v>76500</v>
      </c>
      <c r="I19" s="13" t="n">
        <v>80300</v>
      </c>
      <c r="J19" s="13" t="n">
        <v>84300</v>
      </c>
      <c r="K19" s="13" t="n">
        <v>88500</v>
      </c>
      <c r="L19" s="13" t="n">
        <v>92900</v>
      </c>
      <c r="M19" s="18" t="n">
        <f aca="false">SUM(C19:L19)</f>
        <v>662500</v>
      </c>
    </row>
    <row r="20" customFormat="false" ht="15" hidden="false" customHeight="false" outlineLevel="0" collapsed="false">
      <c r="A20" s="6"/>
      <c r="B20" s="6" t="s">
        <v>107</v>
      </c>
      <c r="C20" s="13" t="n">
        <v>20000</v>
      </c>
      <c r="D20" s="13" t="n">
        <v>21000</v>
      </c>
      <c r="E20" s="13" t="n">
        <v>22100</v>
      </c>
      <c r="F20" s="13" t="n">
        <v>23200</v>
      </c>
      <c r="G20" s="13" t="n">
        <v>24400</v>
      </c>
      <c r="H20" s="13" t="n">
        <v>25600</v>
      </c>
      <c r="I20" s="13" t="n">
        <v>26900</v>
      </c>
      <c r="J20" s="13" t="n">
        <v>28200</v>
      </c>
      <c r="K20" s="13" t="n">
        <v>29600</v>
      </c>
      <c r="L20" s="13" t="n">
        <v>31100</v>
      </c>
      <c r="M20" s="18" t="n">
        <f aca="false">SUM(C20:L20)</f>
        <v>252100</v>
      </c>
    </row>
    <row r="21" customFormat="false" ht="15" hidden="false" customHeight="false" outlineLevel="0" collapsed="false">
      <c r="A21" s="17" t="s">
        <v>108</v>
      </c>
      <c r="B21" s="6" t="s">
        <v>109</v>
      </c>
      <c r="C21" s="13" t="n">
        <v>0</v>
      </c>
      <c r="D21" s="13" t="n">
        <v>0</v>
      </c>
      <c r="E21" s="13" t="n">
        <v>0</v>
      </c>
      <c r="F21" s="13" t="n">
        <v>0</v>
      </c>
      <c r="G21" s="13" t="n">
        <v>0</v>
      </c>
      <c r="H21" s="13" t="n">
        <v>300000</v>
      </c>
      <c r="I21" s="13" t="n">
        <v>300000</v>
      </c>
      <c r="J21" s="13" t="n">
        <v>300000</v>
      </c>
      <c r="K21" s="13" t="n">
        <v>300000</v>
      </c>
      <c r="L21" s="13" t="n">
        <v>300000</v>
      </c>
      <c r="M21" s="18" t="n">
        <f aca="false">SUM(C21:L21)</f>
        <v>1500000</v>
      </c>
    </row>
    <row r="22" customFormat="false" ht="15" hidden="false" customHeight="false" outlineLevel="0" collapsed="false">
      <c r="A22" s="17" t="s">
        <v>110</v>
      </c>
      <c r="B22" s="6" t="s">
        <v>111</v>
      </c>
      <c r="C22" s="19" t="n">
        <f aca="false">Inputs!$B$10</f>
        <v>2475000</v>
      </c>
      <c r="D22" s="18" t="n">
        <f aca="false">C22*(1+Inputs!$B$11)</f>
        <v>2598750</v>
      </c>
      <c r="E22" s="18" t="n">
        <f aca="false">D22*(1+Inputs!$B$11)</f>
        <v>2728687.5</v>
      </c>
      <c r="F22" s="18" t="n">
        <f aca="false">E22*(1+Inputs!$B$11)</f>
        <v>2865121.875</v>
      </c>
      <c r="G22" s="18" t="n">
        <f aca="false">F22*(1+Inputs!$B$11)</f>
        <v>3008377.96875</v>
      </c>
      <c r="H22" s="18" t="n">
        <f aca="false">G22*(1+Inputs!$B$11)</f>
        <v>3158796.8671875</v>
      </c>
      <c r="I22" s="18" t="n">
        <f aca="false">H22*(1+Inputs!$B$11)</f>
        <v>3316736.71054688</v>
      </c>
      <c r="J22" s="18" t="n">
        <f aca="false">I22*(1+Inputs!$B$11)</f>
        <v>3482573.54607422</v>
      </c>
      <c r="K22" s="18" t="n">
        <f aca="false">J22*(1+Inputs!$B$11)</f>
        <v>3656702.22337793</v>
      </c>
      <c r="L22" s="18" t="n">
        <f aca="false">K22*(1+Inputs!$B$11)</f>
        <v>3839537.33454683</v>
      </c>
      <c r="M22" s="20" t="n">
        <f aca="false">SUM(C22:L22)</f>
        <v>31130284.0254834</v>
      </c>
    </row>
    <row r="23" customFormat="false" ht="15" hidden="false" customHeight="false" outlineLevel="0" collapsed="false">
      <c r="A23" s="17" t="s">
        <v>112</v>
      </c>
      <c r="B23" s="14"/>
      <c r="C23" s="21" t="n">
        <f aca="false">SUM(C4:C22)</f>
        <v>2819800</v>
      </c>
      <c r="D23" s="21" t="n">
        <f aca="false">SUM(D4:D22)</f>
        <v>3570750</v>
      </c>
      <c r="E23" s="21" t="n">
        <f aca="false">SUM(E4:E22)</f>
        <v>4759087.5</v>
      </c>
      <c r="F23" s="21" t="n">
        <f aca="false">SUM(F4:F22)</f>
        <v>5853321.875</v>
      </c>
      <c r="G23" s="21" t="n">
        <f aca="false">SUM(G4:G22)</f>
        <v>6860157.96875</v>
      </c>
      <c r="H23" s="21" t="n">
        <f aca="false">SUM(H4:H22)</f>
        <v>8104256.8671875</v>
      </c>
      <c r="I23" s="21" t="n">
        <f aca="false">SUM(I4:I22)</f>
        <v>8821436.71054688</v>
      </c>
      <c r="J23" s="21" t="n">
        <f aca="false">SUM(J4:J22)</f>
        <v>9445993.54607422</v>
      </c>
      <c r="K23" s="21" t="n">
        <f aca="false">SUM(K4:K22)</f>
        <v>10081502.2233779</v>
      </c>
      <c r="L23" s="21" t="n">
        <f aca="false">SUM(L4:L22)</f>
        <v>10669477.3345468</v>
      </c>
      <c r="M23" s="21" t="n">
        <f aca="false">SUM(M4:M22)</f>
        <v>70985784.0254834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2"/>
    <col collapsed="false" customWidth="true" hidden="false" outlineLevel="0" max="13" min="3" style="0" width="12.5"/>
  </cols>
  <sheetData>
    <row r="1" customFormat="false" ht="17.35" hidden="false" customHeight="false" outlineLevel="0" collapsed="false">
      <c r="A1" s="1" t="s">
        <v>113</v>
      </c>
    </row>
    <row r="2" customFormat="false" ht="15" hidden="false" customHeight="false" outlineLevel="0" collapsed="false">
      <c r="A2" s="2" t="s">
        <v>114</v>
      </c>
    </row>
    <row r="3" customFormat="false" ht="15" hidden="false" customHeight="false" outlineLevel="0" collapsed="false">
      <c r="A3" s="5" t="s">
        <v>115</v>
      </c>
      <c r="B3" s="5"/>
      <c r="C3" s="5" t="s">
        <v>76</v>
      </c>
      <c r="D3" s="5" t="s">
        <v>77</v>
      </c>
      <c r="E3" s="5" t="s">
        <v>78</v>
      </c>
      <c r="F3" s="5" t="s">
        <v>79</v>
      </c>
      <c r="G3" s="5" t="s">
        <v>80</v>
      </c>
      <c r="H3" s="5" t="s">
        <v>81</v>
      </c>
      <c r="I3" s="5" t="s">
        <v>82</v>
      </c>
      <c r="J3" s="5" t="s">
        <v>83</v>
      </c>
      <c r="K3" s="5" t="s">
        <v>84</v>
      </c>
      <c r="L3" s="5" t="s">
        <v>85</v>
      </c>
      <c r="M3" s="5" t="s">
        <v>86</v>
      </c>
    </row>
    <row r="4" customFormat="false" ht="15" hidden="false" customHeight="false" outlineLevel="0" collapsed="false">
      <c r="A4" s="6" t="s">
        <v>116</v>
      </c>
      <c r="B4" s="14"/>
      <c r="C4" s="19" t="n">
        <f aca="false">Revenue!C23</f>
        <v>2819800</v>
      </c>
      <c r="D4" s="19" t="n">
        <f aca="false">Revenue!D23</f>
        <v>3570750</v>
      </c>
      <c r="E4" s="19" t="n">
        <f aca="false">Revenue!E23</f>
        <v>4759087.5</v>
      </c>
      <c r="F4" s="19" t="n">
        <f aca="false">Revenue!F23</f>
        <v>5853321.875</v>
      </c>
      <c r="G4" s="19" t="n">
        <f aca="false">Revenue!G23</f>
        <v>6860157.96875</v>
      </c>
      <c r="H4" s="19" t="n">
        <f aca="false">Revenue!H23</f>
        <v>8104256.8671875</v>
      </c>
      <c r="I4" s="19" t="n">
        <f aca="false">Revenue!I23</f>
        <v>8821436.71054688</v>
      </c>
      <c r="J4" s="19" t="n">
        <f aca="false">Revenue!J23</f>
        <v>9445993.54607422</v>
      </c>
      <c r="K4" s="19" t="n">
        <f aca="false">Revenue!K23</f>
        <v>10081502.2233779</v>
      </c>
      <c r="L4" s="19" t="n">
        <f aca="false">Revenue!L23</f>
        <v>10669477.3345468</v>
      </c>
      <c r="M4" s="22" t="n">
        <f aca="false">SUM(C4:L4)</f>
        <v>70985784.0254833</v>
      </c>
    </row>
    <row r="5" customFormat="false" ht="15" hidden="false" customHeight="false" outlineLevel="0" collapsed="false">
      <c r="A5" s="6" t="s">
        <v>117</v>
      </c>
      <c r="B5" s="14"/>
      <c r="C5" s="13" t="n">
        <v>4460000</v>
      </c>
      <c r="D5" s="13" t="n">
        <v>4500000</v>
      </c>
      <c r="E5" s="13" t="n">
        <v>4500000</v>
      </c>
      <c r="F5" s="13" t="n">
        <v>4500000</v>
      </c>
      <c r="G5" s="13" t="n">
        <v>4500000</v>
      </c>
      <c r="H5" s="13" t="n">
        <v>4700000</v>
      </c>
      <c r="I5" s="13" t="n">
        <v>4700000</v>
      </c>
      <c r="J5" s="13" t="n">
        <v>4700000</v>
      </c>
      <c r="K5" s="13" t="n">
        <v>4700000</v>
      </c>
      <c r="L5" s="13" t="n">
        <v>4700000</v>
      </c>
      <c r="M5" s="22" t="n">
        <f aca="false">SUM(C5:L5)</f>
        <v>45960000</v>
      </c>
    </row>
    <row r="6" customFormat="false" ht="15" hidden="false" customHeight="false" outlineLevel="0" collapsed="false">
      <c r="A6" s="17" t="s">
        <v>118</v>
      </c>
      <c r="B6" s="14"/>
      <c r="C6" s="21" t="n">
        <f aca="false">C4-C5</f>
        <v>-1640200</v>
      </c>
      <c r="D6" s="21" t="n">
        <f aca="false">D4-D5</f>
        <v>-929250</v>
      </c>
      <c r="E6" s="21" t="n">
        <f aca="false">E4-E5</f>
        <v>259087.5</v>
      </c>
      <c r="F6" s="21" t="n">
        <f aca="false">F4-F5</f>
        <v>1353321.875</v>
      </c>
      <c r="G6" s="21" t="n">
        <f aca="false">G4-G5</f>
        <v>2360157.96875</v>
      </c>
      <c r="H6" s="21" t="n">
        <f aca="false">H4-H5</f>
        <v>3404256.8671875</v>
      </c>
      <c r="I6" s="21" t="n">
        <f aca="false">I4-I5</f>
        <v>4121436.71054688</v>
      </c>
      <c r="J6" s="21" t="n">
        <f aca="false">J4-J5</f>
        <v>4745993.54607422</v>
      </c>
      <c r="K6" s="21" t="n">
        <f aca="false">K4-K5</f>
        <v>5381502.22337793</v>
      </c>
      <c r="L6" s="21" t="n">
        <f aca="false">L4-L5</f>
        <v>5969477.33454683</v>
      </c>
      <c r="M6" s="22" t="n">
        <f aca="false">SUM(C6:L6)</f>
        <v>25025784.0254834</v>
      </c>
    </row>
    <row r="7" customFormat="false" ht="15" hidden="false" customHeight="false" outlineLevel="0" collapsed="false">
      <c r="A7" s="6" t="s">
        <v>119</v>
      </c>
      <c r="B7" s="14"/>
      <c r="C7" s="19" t="n">
        <f aca="false">Capex!$C$19</f>
        <v>16506000</v>
      </c>
      <c r="D7" s="19" t="n">
        <v>0</v>
      </c>
      <c r="E7" s="19" t="n">
        <v>0</v>
      </c>
      <c r="F7" s="19" t="n">
        <v>0</v>
      </c>
      <c r="G7" s="19" t="n">
        <v>0</v>
      </c>
      <c r="H7" s="19" t="n">
        <v>0</v>
      </c>
      <c r="I7" s="19" t="n">
        <v>0</v>
      </c>
      <c r="J7" s="19" t="n">
        <v>0</v>
      </c>
      <c r="K7" s="19" t="n">
        <v>0</v>
      </c>
      <c r="L7" s="19" t="n">
        <v>0</v>
      </c>
      <c r="M7" s="22" t="n">
        <f aca="false">SUM(C7:L7)</f>
        <v>16506000</v>
      </c>
    </row>
    <row r="8" customFormat="false" ht="15" hidden="false" customHeight="false" outlineLevel="0" collapsed="false">
      <c r="A8" s="17" t="s">
        <v>120</v>
      </c>
      <c r="B8" s="14"/>
      <c r="C8" s="21" t="n">
        <f aca="false">C6-C7</f>
        <v>-18146200</v>
      </c>
      <c r="D8" s="21" t="n">
        <f aca="false">D6-D7</f>
        <v>-929250</v>
      </c>
      <c r="E8" s="21" t="n">
        <f aca="false">E6-E7</f>
        <v>259087.5</v>
      </c>
      <c r="F8" s="21" t="n">
        <f aca="false">F6-F7</f>
        <v>1353321.875</v>
      </c>
      <c r="G8" s="21" t="n">
        <f aca="false">G6-G7</f>
        <v>2360157.96875</v>
      </c>
      <c r="H8" s="21" t="n">
        <f aca="false">H6-H7</f>
        <v>3404256.8671875</v>
      </c>
      <c r="I8" s="21" t="n">
        <f aca="false">I6-I7</f>
        <v>4121436.71054688</v>
      </c>
      <c r="J8" s="21" t="n">
        <f aca="false">J6-J7</f>
        <v>4745993.54607422</v>
      </c>
      <c r="K8" s="21" t="n">
        <f aca="false">K6-K7</f>
        <v>5381502.22337793</v>
      </c>
      <c r="L8" s="21" t="n">
        <f aca="false">L6-L7</f>
        <v>5969477.33454683</v>
      </c>
      <c r="M8" s="22" t="n">
        <f aca="false">SUM(C8:L8)</f>
        <v>8519784.02548335</v>
      </c>
    </row>
    <row r="9" customFormat="false" ht="15" hidden="false" customHeight="false" outlineLevel="0" collapsed="false">
      <c r="A9" s="17" t="s">
        <v>121</v>
      </c>
      <c r="B9" s="14"/>
      <c r="C9" s="22" t="n">
        <f aca="false">C8</f>
        <v>-18146200</v>
      </c>
      <c r="D9" s="22" t="n">
        <f aca="false">C9+D8</f>
        <v>-19075450</v>
      </c>
      <c r="E9" s="22" t="n">
        <f aca="false">D9+E8</f>
        <v>-18816362.5</v>
      </c>
      <c r="F9" s="22" t="n">
        <f aca="false">E9+F8</f>
        <v>-17463040.625</v>
      </c>
      <c r="G9" s="22" t="n">
        <f aca="false">F9+G8</f>
        <v>-15102882.65625</v>
      </c>
      <c r="H9" s="22" t="n">
        <f aca="false">G9+H8</f>
        <v>-11698625.7890625</v>
      </c>
      <c r="I9" s="22" t="n">
        <f aca="false">H9+I8</f>
        <v>-7577189.07851563</v>
      </c>
      <c r="J9" s="22" t="n">
        <f aca="false">I9+J8</f>
        <v>-2831195.53244141</v>
      </c>
      <c r="K9" s="22" t="n">
        <f aca="false">J9+K8</f>
        <v>2550306.69093652</v>
      </c>
      <c r="L9" s="22" t="n">
        <f aca="false">K9+L8</f>
        <v>8519784.02548335</v>
      </c>
      <c r="M9" s="14"/>
    </row>
    <row r="10" customFormat="false" ht="15" hidden="false" customHeight="false" outlineLevel="0" collapsed="false">
      <c r="A10" s="6" t="s">
        <v>122</v>
      </c>
      <c r="B10" s="14"/>
      <c r="C10" s="18" t="str">
        <f aca="false">IF(C9&gt;=0,1,"")</f>
        <v/>
      </c>
      <c r="D10" s="18" t="str">
        <f aca="false">IF(AND(D9&gt;=0,C9&lt;0),2,"")</f>
        <v/>
      </c>
      <c r="E10" s="18" t="str">
        <f aca="false">IF(AND(E9&gt;=0,D9&lt;0),3,"")</f>
        <v/>
      </c>
      <c r="F10" s="18" t="str">
        <f aca="false">IF(AND(F9&gt;=0,E9&lt;0),4,"")</f>
        <v/>
      </c>
      <c r="G10" s="18" t="str">
        <f aca="false">IF(AND(G9&gt;=0,F9&lt;0),5,"")</f>
        <v/>
      </c>
      <c r="H10" s="18" t="str">
        <f aca="false">IF(AND(H9&gt;=0,G9&lt;0),6,"")</f>
        <v/>
      </c>
      <c r="I10" s="18" t="str">
        <f aca="false">IF(AND(I9&gt;=0,H9&lt;0),7,"")</f>
        <v/>
      </c>
      <c r="J10" s="18" t="str">
        <f aca="false">IF(AND(J9&gt;=0,I9&lt;0),8,"")</f>
        <v/>
      </c>
      <c r="K10" s="18" t="n">
        <f aca="false">IF(AND(K9&gt;=0,J9&lt;0),9,"")</f>
        <v>9</v>
      </c>
      <c r="L10" s="18" t="str">
        <f aca="false">IF(AND(L9&gt;=0,K9&lt;0),10,"")</f>
        <v/>
      </c>
      <c r="M10" s="14"/>
    </row>
    <row r="12" customFormat="false" ht="15" hidden="false" customHeight="false" outlineLevel="0" collapsed="false">
      <c r="A12" s="15" t="s">
        <v>123</v>
      </c>
    </row>
    <row r="13" customFormat="false" ht="15" hidden="false" customHeight="false" outlineLevel="0" collapsed="false">
      <c r="A13" s="6" t="s">
        <v>124</v>
      </c>
      <c r="C13" s="21" t="n">
        <f aca="false">MAX(0,-C6)</f>
        <v>1640200</v>
      </c>
    </row>
    <row r="14" customFormat="false" ht="15" hidden="false" customHeight="false" outlineLevel="0" collapsed="false">
      <c r="A14" s="6" t="s">
        <v>125</v>
      </c>
      <c r="C14" s="21" t="n">
        <f aca="false">MAX(0,-D6)</f>
        <v>929250</v>
      </c>
    </row>
    <row r="15" customFormat="false" ht="15" hidden="false" customHeight="false" outlineLevel="0" collapsed="false">
      <c r="A15" s="6" t="s">
        <v>126</v>
      </c>
      <c r="C15" s="21" t="str">
        <f aca="false">IF(COUNTIF(C6:L6,"&gt;0")=0,"None within 10 years",INDEX(C3:L3,MATCH(TRUE(),INDEX(C6:L6&gt;0,0),0)))</f>
        <v>Year 3</v>
      </c>
    </row>
    <row r="16" customFormat="false" ht="15" hidden="false" customHeight="false" outlineLevel="0" collapsed="false">
      <c r="A16" s="6" t="s">
        <v>127</v>
      </c>
      <c r="C16" s="21" t="n">
        <f aca="false">M6</f>
        <v>25025784.0254834</v>
      </c>
    </row>
    <row r="17" customFormat="false" ht="15" hidden="false" customHeight="false" outlineLevel="0" collapsed="false">
      <c r="A17" s="6" t="s">
        <v>128</v>
      </c>
      <c r="C17" s="21" t="n">
        <f aca="false">M8</f>
        <v>8519784.02548335</v>
      </c>
    </row>
    <row r="18" customFormat="false" ht="15" hidden="false" customHeight="false" outlineLevel="0" collapsed="false">
      <c r="A18" s="6" t="s">
        <v>129</v>
      </c>
      <c r="C18" s="23" t="n">
        <f aca="false">IF(COUNT(C10:L10)=0,"Beyond Year 10",MIN(C10:L10))</f>
        <v>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2"/>
    <col collapsed="false" customWidth="true" hidden="false" outlineLevel="0" max="13" min="3" style="0" width="12.5"/>
  </cols>
  <sheetData>
    <row r="1" customFormat="false" ht="17.35" hidden="false" customHeight="false" outlineLevel="0" collapsed="false">
      <c r="A1" s="1" t="s">
        <v>130</v>
      </c>
    </row>
    <row r="2" customFormat="false" ht="15" hidden="false" customHeight="false" outlineLevel="0" collapsed="false">
      <c r="A2" s="2" t="s">
        <v>131</v>
      </c>
    </row>
    <row r="3" customFormat="false" ht="15" hidden="false" customHeight="false" outlineLevel="0" collapsed="false">
      <c r="A3" s="5" t="s">
        <v>115</v>
      </c>
      <c r="B3" s="5"/>
      <c r="C3" s="5" t="s">
        <v>76</v>
      </c>
      <c r="D3" s="5" t="s">
        <v>77</v>
      </c>
      <c r="E3" s="5" t="s">
        <v>78</v>
      </c>
      <c r="F3" s="5" t="s">
        <v>79</v>
      </c>
      <c r="G3" s="5" t="s">
        <v>80</v>
      </c>
      <c r="H3" s="5" t="s">
        <v>81</v>
      </c>
      <c r="I3" s="5" t="s">
        <v>82</v>
      </c>
      <c r="J3" s="5" t="s">
        <v>83</v>
      </c>
      <c r="K3" s="5" t="s">
        <v>84</v>
      </c>
      <c r="L3" s="5" t="s">
        <v>85</v>
      </c>
      <c r="M3" s="5" t="s">
        <v>86</v>
      </c>
    </row>
    <row r="4" customFormat="false" ht="15" hidden="false" customHeight="false" outlineLevel="0" collapsed="false">
      <c r="A4" s="6" t="s">
        <v>132</v>
      </c>
      <c r="B4" s="14"/>
      <c r="C4" s="18" t="n">
        <f aca="false">SUM(Revenue!C4:C7)*(1-IF(1=Inputs!$B$12,Inputs!$B$13,0))</f>
        <v>40000</v>
      </c>
      <c r="D4" s="18" t="n">
        <f aca="false">SUM(Revenue!D4:D7)*(1-IF(2=Inputs!$B$12,Inputs!$B$13,0))</f>
        <v>35000</v>
      </c>
      <c r="E4" s="18" t="n">
        <f aca="false">SUM(Revenue!E4:E7)*(1-IF(3=Inputs!$B$12,Inputs!$B$13,0))</f>
        <v>110000</v>
      </c>
      <c r="F4" s="18" t="n">
        <f aca="false">SUM(Revenue!F4:F7)*(1-IF(4=Inputs!$B$12,Inputs!$B$13,0))</f>
        <v>170000</v>
      </c>
      <c r="G4" s="18" t="n">
        <f aca="false">SUM(Revenue!G4:G7)*(1-IF(5=Inputs!$B$12,Inputs!$B$13,0))</f>
        <v>230000</v>
      </c>
      <c r="H4" s="18" t="n">
        <f aca="false">SUM(Revenue!H4:H7)*(1-IF(6=Inputs!$B$12,Inputs!$B$13,0))</f>
        <v>280000</v>
      </c>
      <c r="I4" s="18" t="n">
        <f aca="false">SUM(Revenue!I4:I7)*(1-IF(7=Inputs!$B$12,Inputs!$B$13,0))</f>
        <v>320000</v>
      </c>
      <c r="J4" s="18" t="n">
        <f aca="false">SUM(Revenue!J4:J7)*(1-IF(8=Inputs!$B$12,Inputs!$B$13,0))</f>
        <v>360000</v>
      </c>
      <c r="K4" s="18" t="n">
        <f aca="false">SUM(Revenue!K4:K7)*(1-IF(9=Inputs!$B$12,Inputs!$B$13,0))</f>
        <v>400000</v>
      </c>
      <c r="L4" s="18" t="n">
        <f aca="false">SUM(Revenue!L4:L7)*(1-IF(10=Inputs!$B$12,Inputs!$B$13,0))</f>
        <v>440000</v>
      </c>
      <c r="M4" s="20" t="n">
        <f aca="false">SUM(C4:L4)</f>
        <v>2385000</v>
      </c>
    </row>
    <row r="5" customFormat="false" ht="15" hidden="false" customHeight="false" outlineLevel="0" collapsed="false">
      <c r="A5" s="6" t="s">
        <v>133</v>
      </c>
      <c r="B5" s="14"/>
      <c r="C5" s="18" t="n">
        <f aca="false">SUM(Revenue!C8:C14)*(1-IF(1=Inputs!$B$12,Inputs!$B$13,0))</f>
        <v>0</v>
      </c>
      <c r="D5" s="18" t="n">
        <f aca="false">SUM(Revenue!D8:D14)*(1-IF(2=Inputs!$B$12,Inputs!$B$13,0))</f>
        <v>319900</v>
      </c>
      <c r="E5" s="18" t="n">
        <f aca="false">SUM(Revenue!E8:E14)*(1-IF(3=Inputs!$B$12,Inputs!$B$13,0))</f>
        <v>1399000</v>
      </c>
      <c r="F5" s="18" t="n">
        <f aca="false">SUM(Revenue!F8:F14)*(1-IF(4=Inputs!$B$12,Inputs!$B$13,0))</f>
        <v>2269000</v>
      </c>
      <c r="G5" s="18" t="n">
        <f aca="false">SUM(Revenue!G8:G14)*(1-IF(5=Inputs!$B$12,Inputs!$B$13,0))</f>
        <v>3045000</v>
      </c>
      <c r="H5" s="18" t="n">
        <f aca="false">SUM(Revenue!H8:H14)*(1-IF(6=Inputs!$B$12,Inputs!$B$13,0))</f>
        <v>3760000</v>
      </c>
      <c r="I5" s="18" t="n">
        <f aca="false">SUM(Revenue!I8:I14)*(1-IF(7=Inputs!$B$12,Inputs!$B$13,0))</f>
        <v>4249000</v>
      </c>
      <c r="J5" s="18" t="n">
        <f aca="false">SUM(Revenue!J8:J14)*(1-IF(8=Inputs!$B$12,Inputs!$B$13,0))</f>
        <v>4636000</v>
      </c>
      <c r="K5" s="18" t="n">
        <f aca="false">SUM(Revenue!K8:K14)*(1-IF(9=Inputs!$B$12,Inputs!$B$13,0))</f>
        <v>5024000</v>
      </c>
      <c r="L5" s="18" t="n">
        <f aca="false">SUM(Revenue!L8:L14)*(1-IF(10=Inputs!$B$12,Inputs!$B$13,0))</f>
        <v>5354000</v>
      </c>
      <c r="M5" s="20" t="n">
        <f aca="false">SUM(C5:L5)</f>
        <v>30055900</v>
      </c>
    </row>
    <row r="6" customFormat="false" ht="15" hidden="false" customHeight="false" outlineLevel="0" collapsed="false">
      <c r="A6" s="6" t="s">
        <v>101</v>
      </c>
      <c r="B6" s="14"/>
      <c r="C6" s="18" t="n">
        <f aca="false">SUM(Revenue!C15:C15)*(1-IF(1=Inputs!$B$12,Inputs!$B$14,0))</f>
        <v>252000</v>
      </c>
      <c r="D6" s="18" t="n">
        <f aca="false">SUM(Revenue!D15:D15)*(1-IF(2=Inputs!$B$12,Inputs!$B$14,0))</f>
        <v>151200</v>
      </c>
      <c r="E6" s="18" t="n">
        <f aca="false">SUM(Revenue!E15:E15)*(1-IF(3=Inputs!$B$12,Inputs!$B$14,0))</f>
        <v>396900</v>
      </c>
      <c r="F6" s="18" t="n">
        <f aca="false">SUM(Revenue!F15:F15)*(1-IF(4=Inputs!$B$12,Inputs!$B$14,0))</f>
        <v>416700</v>
      </c>
      <c r="G6" s="18" t="n">
        <f aca="false">SUM(Revenue!G15:G15)*(1-IF(5=Inputs!$B$12,Inputs!$B$14,0))</f>
        <v>437580</v>
      </c>
      <c r="H6" s="18" t="n">
        <f aca="false">SUM(Revenue!H15:H15)*(1-IF(6=Inputs!$B$12,Inputs!$B$14,0))</f>
        <v>459360</v>
      </c>
      <c r="I6" s="18" t="n">
        <f aca="false">SUM(Revenue!I15:I15)*(1-IF(7=Inputs!$B$12,Inputs!$B$14,0))</f>
        <v>482400</v>
      </c>
      <c r="J6" s="18" t="n">
        <f aca="false">SUM(Revenue!J15:J15)*(1-IF(8=Inputs!$B$12,Inputs!$B$14,0))</f>
        <v>506520</v>
      </c>
      <c r="K6" s="18" t="n">
        <f aca="false">SUM(Revenue!K15:K15)*(1-IF(9=Inputs!$B$12,Inputs!$B$14,0))</f>
        <v>531900</v>
      </c>
      <c r="L6" s="18" t="n">
        <f aca="false">SUM(Revenue!L15:L15)*(1-IF(10=Inputs!$B$12,Inputs!$B$14,0))</f>
        <v>558540</v>
      </c>
      <c r="M6" s="20" t="n">
        <f aca="false">SUM(C6:L6)</f>
        <v>4193100</v>
      </c>
    </row>
    <row r="7" customFormat="false" ht="15" hidden="false" customHeight="false" outlineLevel="0" collapsed="false">
      <c r="A7" s="6" t="s">
        <v>134</v>
      </c>
      <c r="B7" s="14"/>
      <c r="C7" s="18" t="n">
        <f aca="false">SUM(Revenue!C16:C20)*(1-IF(1=Inputs!$B$12,Inputs!$B$15,0))</f>
        <v>52800</v>
      </c>
      <c r="D7" s="18" t="n">
        <f aca="false">SUM(Revenue!D16:D20)*(1-IF(2=Inputs!$B$12,Inputs!$B$15,0))</f>
        <v>43500</v>
      </c>
      <c r="E7" s="18" t="n">
        <f aca="false">SUM(Revenue!E16:E20)*(1-IF(3=Inputs!$B$12,Inputs!$B$15,0))</f>
        <v>124500</v>
      </c>
      <c r="F7" s="18" t="n">
        <f aca="false">SUM(Revenue!F16:F20)*(1-IF(4=Inputs!$B$12,Inputs!$B$15,0))</f>
        <v>132500</v>
      </c>
      <c r="G7" s="18" t="n">
        <f aca="false">SUM(Revenue!G16:G20)*(1-IF(5=Inputs!$B$12,Inputs!$B$15,0))</f>
        <v>139200</v>
      </c>
      <c r="H7" s="18" t="n">
        <f aca="false">SUM(Revenue!H16:H20)*(1-IF(6=Inputs!$B$12,Inputs!$B$15,0))</f>
        <v>146100</v>
      </c>
      <c r="I7" s="18" t="n">
        <f aca="false">SUM(Revenue!I16:I20)*(1-IF(7=Inputs!$B$12,Inputs!$B$15,0))</f>
        <v>153300</v>
      </c>
      <c r="J7" s="18" t="n">
        <f aca="false">SUM(Revenue!J16:J20)*(1-IF(8=Inputs!$B$12,Inputs!$B$15,0))</f>
        <v>160900</v>
      </c>
      <c r="K7" s="18" t="n">
        <f aca="false">SUM(Revenue!K16:K20)*(1-IF(9=Inputs!$B$12,Inputs!$B$15,0))</f>
        <v>168900</v>
      </c>
      <c r="L7" s="18" t="n">
        <f aca="false">SUM(Revenue!L16:L20)*(1-IF(10=Inputs!$B$12,Inputs!$B$15,0))</f>
        <v>177400</v>
      </c>
      <c r="M7" s="20" t="n">
        <f aca="false">SUM(C7:L7)</f>
        <v>1299100</v>
      </c>
    </row>
    <row r="8" customFormat="false" ht="15" hidden="false" customHeight="false" outlineLevel="0" collapsed="false">
      <c r="A8" s="6" t="s">
        <v>109</v>
      </c>
      <c r="B8" s="14"/>
      <c r="C8" s="18" t="n">
        <f aca="false">SUM(Revenue!C21:C21)*(1-IF(1=Inputs!$B$12,Inputs!$B$17,0))</f>
        <v>0</v>
      </c>
      <c r="D8" s="18" t="n">
        <f aca="false">SUM(Revenue!D21:D21)*(1-IF(2=Inputs!$B$12,Inputs!$B$17,0))</f>
        <v>0</v>
      </c>
      <c r="E8" s="18" t="n">
        <f aca="false">SUM(Revenue!E21:E21)*(1-IF(3=Inputs!$B$12,Inputs!$B$17,0))</f>
        <v>0</v>
      </c>
      <c r="F8" s="18" t="n">
        <f aca="false">SUM(Revenue!F21:F21)*(1-IF(4=Inputs!$B$12,Inputs!$B$17,0))</f>
        <v>0</v>
      </c>
      <c r="G8" s="18" t="n">
        <f aca="false">SUM(Revenue!G21:G21)*(1-IF(5=Inputs!$B$12,Inputs!$B$17,0))</f>
        <v>0</v>
      </c>
      <c r="H8" s="18" t="n">
        <f aca="false">SUM(Revenue!H21:H21)*(1-IF(6=Inputs!$B$12,Inputs!$B$17,0))</f>
        <v>300000</v>
      </c>
      <c r="I8" s="18" t="n">
        <f aca="false">SUM(Revenue!I21:I21)*(1-IF(7=Inputs!$B$12,Inputs!$B$17,0))</f>
        <v>300000</v>
      </c>
      <c r="J8" s="18" t="n">
        <f aca="false">SUM(Revenue!J21:J21)*(1-IF(8=Inputs!$B$12,Inputs!$B$17,0))</f>
        <v>300000</v>
      </c>
      <c r="K8" s="18" t="n">
        <f aca="false">SUM(Revenue!K21:K21)*(1-IF(9=Inputs!$B$12,Inputs!$B$17,0))</f>
        <v>300000</v>
      </c>
      <c r="L8" s="18" t="n">
        <f aca="false">SUM(Revenue!L21:L21)*(1-IF(10=Inputs!$B$12,Inputs!$B$17,0))</f>
        <v>300000</v>
      </c>
      <c r="M8" s="20" t="n">
        <f aca="false">SUM(C8:L8)</f>
        <v>1500000</v>
      </c>
    </row>
    <row r="9" customFormat="false" ht="15" hidden="false" customHeight="false" outlineLevel="0" collapsed="false">
      <c r="A9" s="6" t="s">
        <v>135</v>
      </c>
      <c r="B9" s="14"/>
      <c r="C9" s="18" t="n">
        <f aca="false">SUM(Revenue!C22:C22)*(1-IF(1=Inputs!$B$12,Inputs!$B$16,0))</f>
        <v>2475000</v>
      </c>
      <c r="D9" s="18" t="n">
        <f aca="false">SUM(Revenue!D22:D22)*(1-IF(2=Inputs!$B$12,Inputs!$B$16,0))</f>
        <v>1559250</v>
      </c>
      <c r="E9" s="18" t="n">
        <f aca="false">SUM(Revenue!E22:E22)*(1-IF(3=Inputs!$B$12,Inputs!$B$16,0))</f>
        <v>2728687.5</v>
      </c>
      <c r="F9" s="18" t="n">
        <f aca="false">SUM(Revenue!F22:F22)*(1-IF(4=Inputs!$B$12,Inputs!$B$16,0))</f>
        <v>2865121.875</v>
      </c>
      <c r="G9" s="18" t="n">
        <f aca="false">SUM(Revenue!G22:G22)*(1-IF(5=Inputs!$B$12,Inputs!$B$16,0))</f>
        <v>3008377.96875</v>
      </c>
      <c r="H9" s="18" t="n">
        <f aca="false">SUM(Revenue!H22:H22)*(1-IF(6=Inputs!$B$12,Inputs!$B$16,0))</f>
        <v>3158796.8671875</v>
      </c>
      <c r="I9" s="18" t="n">
        <f aca="false">SUM(Revenue!I22:I22)*(1-IF(7=Inputs!$B$12,Inputs!$B$16,0))</f>
        <v>3316736.71054688</v>
      </c>
      <c r="J9" s="18" t="n">
        <f aca="false">SUM(Revenue!J22:J22)*(1-IF(8=Inputs!$B$12,Inputs!$B$16,0))</f>
        <v>3482573.54607422</v>
      </c>
      <c r="K9" s="18" t="n">
        <f aca="false">SUM(Revenue!K22:K22)*(1-IF(9=Inputs!$B$12,Inputs!$B$16,0))</f>
        <v>3656702.22337793</v>
      </c>
      <c r="L9" s="18" t="n">
        <f aca="false">SUM(Revenue!L22:L22)*(1-IF(10=Inputs!$B$12,Inputs!$B$16,0))</f>
        <v>3839537.33454683</v>
      </c>
      <c r="M9" s="20" t="n">
        <f aca="false">SUM(C9:L9)</f>
        <v>30090784.0254834</v>
      </c>
    </row>
    <row r="10" customFormat="false" ht="15" hidden="false" customHeight="false" outlineLevel="0" collapsed="false">
      <c r="A10" s="17" t="s">
        <v>136</v>
      </c>
      <c r="B10" s="14"/>
      <c r="C10" s="21" t="n">
        <f aca="false">SUM(C4:C9)</f>
        <v>2819800</v>
      </c>
      <c r="D10" s="21" t="n">
        <f aca="false">SUM(D4:D9)</f>
        <v>2108850</v>
      </c>
      <c r="E10" s="21" t="n">
        <f aca="false">SUM(E4:E9)</f>
        <v>4759087.5</v>
      </c>
      <c r="F10" s="21" t="n">
        <f aca="false">SUM(F4:F9)</f>
        <v>5853321.875</v>
      </c>
      <c r="G10" s="21" t="n">
        <f aca="false">SUM(G4:G9)</f>
        <v>6860157.96875</v>
      </c>
      <c r="H10" s="21" t="n">
        <f aca="false">SUM(H4:H9)</f>
        <v>8104256.8671875</v>
      </c>
      <c r="I10" s="21" t="n">
        <f aca="false">SUM(I4:I9)</f>
        <v>8821436.71054688</v>
      </c>
      <c r="J10" s="21" t="n">
        <f aca="false">SUM(J4:J9)</f>
        <v>9445993.54607422</v>
      </c>
      <c r="K10" s="21" t="n">
        <f aca="false">SUM(K4:K9)</f>
        <v>10081502.2233779</v>
      </c>
      <c r="L10" s="21" t="n">
        <f aca="false">SUM(L4:L9)</f>
        <v>10669477.3345468</v>
      </c>
      <c r="M10" s="21" t="n">
        <f aca="false">SUM(M4:M9)</f>
        <v>69523884.0254834</v>
      </c>
    </row>
    <row r="11" customFormat="false" ht="15" hidden="false" customHeight="false" outlineLevel="0" collapsed="false">
      <c r="A11" s="6" t="s">
        <v>117</v>
      </c>
      <c r="B11" s="14"/>
      <c r="C11" s="19" t="n">
        <f aca="false">CashFlow!C5</f>
        <v>4460000</v>
      </c>
      <c r="D11" s="19" t="n">
        <f aca="false">CashFlow!D5</f>
        <v>4500000</v>
      </c>
      <c r="E11" s="19" t="n">
        <f aca="false">CashFlow!E5</f>
        <v>4500000</v>
      </c>
      <c r="F11" s="19" t="n">
        <f aca="false">CashFlow!F5</f>
        <v>4500000</v>
      </c>
      <c r="G11" s="19" t="n">
        <f aca="false">CashFlow!G5</f>
        <v>4500000</v>
      </c>
      <c r="H11" s="19" t="n">
        <f aca="false">CashFlow!H5</f>
        <v>4700000</v>
      </c>
      <c r="I11" s="19" t="n">
        <f aca="false">CashFlow!I5</f>
        <v>4700000</v>
      </c>
      <c r="J11" s="19" t="n">
        <f aca="false">CashFlow!J5</f>
        <v>4700000</v>
      </c>
      <c r="K11" s="19" t="n">
        <f aca="false">CashFlow!K5</f>
        <v>4700000</v>
      </c>
      <c r="L11" s="19" t="n">
        <f aca="false">CashFlow!L5</f>
        <v>4700000</v>
      </c>
      <c r="M11" s="22" t="n">
        <f aca="false">SUM(C11:L11)</f>
        <v>45960000</v>
      </c>
    </row>
    <row r="12" customFormat="false" ht="15" hidden="false" customHeight="false" outlineLevel="0" collapsed="false">
      <c r="A12" s="6" t="s">
        <v>119</v>
      </c>
      <c r="B12" s="14"/>
      <c r="C12" s="19" t="n">
        <f aca="false">CashFlow!C7</f>
        <v>16506000</v>
      </c>
      <c r="D12" s="19" t="n">
        <f aca="false">CashFlow!D7</f>
        <v>0</v>
      </c>
      <c r="E12" s="19" t="n">
        <f aca="false">CashFlow!E7</f>
        <v>0</v>
      </c>
      <c r="F12" s="19" t="n">
        <f aca="false">CashFlow!F7</f>
        <v>0</v>
      </c>
      <c r="G12" s="19" t="n">
        <f aca="false">CashFlow!G7</f>
        <v>0</v>
      </c>
      <c r="H12" s="19" t="n">
        <f aca="false">CashFlow!H7</f>
        <v>0</v>
      </c>
      <c r="I12" s="19" t="n">
        <f aca="false">CashFlow!I7</f>
        <v>0</v>
      </c>
      <c r="J12" s="19" t="n">
        <f aca="false">CashFlow!J7</f>
        <v>0</v>
      </c>
      <c r="K12" s="19" t="n">
        <f aca="false">CashFlow!K7</f>
        <v>0</v>
      </c>
      <c r="L12" s="19" t="n">
        <f aca="false">CashFlow!L7</f>
        <v>0</v>
      </c>
      <c r="M12" s="22" t="n">
        <f aca="false">SUM(C12:L12)</f>
        <v>16506000</v>
      </c>
    </row>
    <row r="13" customFormat="false" ht="15" hidden="false" customHeight="false" outlineLevel="0" collapsed="false">
      <c r="A13" s="17" t="s">
        <v>137</v>
      </c>
      <c r="B13" s="14"/>
      <c r="C13" s="21" t="n">
        <f aca="false">C10-C11-C12</f>
        <v>-18146200</v>
      </c>
      <c r="D13" s="21" t="n">
        <f aca="false">D10-D11-D12</f>
        <v>-2391150</v>
      </c>
      <c r="E13" s="21" t="n">
        <f aca="false">E10-E11-E12</f>
        <v>259087.5</v>
      </c>
      <c r="F13" s="21" t="n">
        <f aca="false">F10-F11-F12</f>
        <v>1353321.875</v>
      </c>
      <c r="G13" s="21" t="n">
        <f aca="false">G10-G11-G12</f>
        <v>2360157.96875</v>
      </c>
      <c r="H13" s="21" t="n">
        <f aca="false">H10-H11-H12</f>
        <v>3404256.8671875</v>
      </c>
      <c r="I13" s="21" t="n">
        <f aca="false">I10-I11-I12</f>
        <v>4121436.71054688</v>
      </c>
      <c r="J13" s="21" t="n">
        <f aca="false">J10-J11-J12</f>
        <v>4745993.54607422</v>
      </c>
      <c r="K13" s="21" t="n">
        <f aca="false">K10-K11-K12</f>
        <v>5381502.22337793</v>
      </c>
      <c r="L13" s="21" t="n">
        <f aca="false">L10-L11-L12</f>
        <v>5969477.33454683</v>
      </c>
      <c r="M13" s="22" t="n">
        <f aca="false">SUM(C13:L13)</f>
        <v>7057884.02548335</v>
      </c>
    </row>
    <row r="14" customFormat="false" ht="15" hidden="false" customHeight="false" outlineLevel="0" collapsed="false">
      <c r="A14" s="17" t="s">
        <v>138</v>
      </c>
      <c r="B14" s="14"/>
      <c r="C14" s="20" t="n">
        <f aca="false">C13</f>
        <v>-18146200</v>
      </c>
      <c r="D14" s="20" t="n">
        <f aca="false">C14+D13</f>
        <v>-20537350</v>
      </c>
      <c r="E14" s="20" t="n">
        <f aca="false">D14+E13</f>
        <v>-20278262.5</v>
      </c>
      <c r="F14" s="20" t="n">
        <f aca="false">E14+F13</f>
        <v>-18924940.625</v>
      </c>
      <c r="G14" s="20" t="n">
        <f aca="false">F14+G13</f>
        <v>-16564782.65625</v>
      </c>
      <c r="H14" s="20" t="n">
        <f aca="false">G14+H13</f>
        <v>-13160525.7890625</v>
      </c>
      <c r="I14" s="20" t="n">
        <f aca="false">H14+I13</f>
        <v>-9039089.07851563</v>
      </c>
      <c r="J14" s="20" t="n">
        <f aca="false">I14+J13</f>
        <v>-4293095.53244141</v>
      </c>
      <c r="K14" s="20" t="n">
        <f aca="false">J14+K13</f>
        <v>1088406.69093652</v>
      </c>
      <c r="L14" s="20" t="n">
        <f aca="false">K14+L13</f>
        <v>7057884.02548335</v>
      </c>
      <c r="M14" s="14"/>
    </row>
    <row r="15" customFormat="false" ht="15" hidden="false" customHeight="false" outlineLevel="0" collapsed="false">
      <c r="A15" s="6" t="s">
        <v>122</v>
      </c>
      <c r="B15" s="14"/>
      <c r="C15" s="14" t="str">
        <f aca="false">IF(C14&gt;=0,1,"")</f>
        <v/>
      </c>
      <c r="D15" s="14" t="str">
        <f aca="false">IF(AND(D14&gt;=0,C14&lt;0),2,"")</f>
        <v/>
      </c>
      <c r="E15" s="14" t="str">
        <f aca="false">IF(AND(E14&gt;=0,D14&lt;0),3,"")</f>
        <v/>
      </c>
      <c r="F15" s="14" t="str">
        <f aca="false">IF(AND(F14&gt;=0,E14&lt;0),4,"")</f>
        <v/>
      </c>
      <c r="G15" s="14" t="str">
        <f aca="false">IF(AND(G14&gt;=0,F14&lt;0),5,"")</f>
        <v/>
      </c>
      <c r="H15" s="14" t="str">
        <f aca="false">IF(AND(H14&gt;=0,G14&lt;0),6,"")</f>
        <v/>
      </c>
      <c r="I15" s="14" t="str">
        <f aca="false">IF(AND(I14&gt;=0,H14&lt;0),7,"")</f>
        <v/>
      </c>
      <c r="J15" s="14" t="str">
        <f aca="false">IF(AND(J14&gt;=0,I14&lt;0),8,"")</f>
        <v/>
      </c>
      <c r="K15" s="14" t="n">
        <f aca="false">IF(AND(K14&gt;=0,J14&lt;0),9,"")</f>
        <v>9</v>
      </c>
      <c r="L15" s="14" t="str">
        <f aca="false">IF(AND(L14&gt;=0,K14&lt;0),10,"")</f>
        <v/>
      </c>
      <c r="M15" s="14"/>
    </row>
    <row r="17" customFormat="false" ht="15" hidden="false" customHeight="false" outlineLevel="0" collapsed="false">
      <c r="A17" s="15" t="s">
        <v>139</v>
      </c>
    </row>
    <row r="18" customFormat="false" ht="15" hidden="false" customHeight="false" outlineLevel="0" collapsed="false">
      <c r="A18" s="5" t="s">
        <v>140</v>
      </c>
      <c r="B18" s="5"/>
      <c r="C18" s="5" t="s">
        <v>141</v>
      </c>
      <c r="D18" s="5" t="s">
        <v>142</v>
      </c>
      <c r="E18" s="5" t="s">
        <v>143</v>
      </c>
    </row>
    <row r="19" customFormat="false" ht="15" hidden="false" customHeight="false" outlineLevel="0" collapsed="false">
      <c r="A19" s="6" t="s">
        <v>144</v>
      </c>
      <c r="B19" s="14"/>
      <c r="C19" s="19" t="n">
        <f aca="false">Revenue!M23</f>
        <v>70985784.0254834</v>
      </c>
      <c r="D19" s="18" t="n">
        <f aca="false">M10</f>
        <v>69523884.0254834</v>
      </c>
      <c r="E19" s="20" t="n">
        <f aca="false">IFERROR(D19-C19,"")</f>
        <v>-1461900</v>
      </c>
    </row>
    <row r="20" customFormat="false" ht="15" hidden="false" customHeight="false" outlineLevel="0" collapsed="false">
      <c r="A20" s="6" t="s">
        <v>145</v>
      </c>
      <c r="B20" s="14"/>
      <c r="C20" s="19" t="n">
        <f aca="false">CashFlow!M8</f>
        <v>8519784.02548335</v>
      </c>
      <c r="D20" s="18" t="n">
        <f aca="false">M13</f>
        <v>7057884.02548335</v>
      </c>
      <c r="E20" s="20" t="n">
        <f aca="false">IFERROR(D20-C20,"")</f>
        <v>-1461900</v>
      </c>
    </row>
    <row r="21" customFormat="false" ht="15" hidden="false" customHeight="false" outlineLevel="0" collapsed="false">
      <c r="A21" s="6" t="s">
        <v>146</v>
      </c>
      <c r="B21" s="14"/>
      <c r="C21" s="24" t="n">
        <f aca="false">CashFlow!C18</f>
        <v>9</v>
      </c>
      <c r="D21" s="25" t="n">
        <f aca="false">IF(COUNT(C15:L15)=0,"Beyond Year 10",MIN(C15:L15))</f>
        <v>9</v>
      </c>
      <c r="E21" s="26" t="n">
        <f aca="false">IFERROR(D21-C21,"")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78"/>
    <col collapsed="false" customWidth="true" hidden="false" outlineLevel="0" max="3" min="3" style="0" width="16"/>
    <col collapsed="false" customWidth="true" hidden="false" outlineLevel="0" max="4" min="4" style="0" width="36"/>
  </cols>
  <sheetData>
    <row r="1" customFormat="false" ht="17.35" hidden="false" customHeight="false" outlineLevel="0" collapsed="false">
      <c r="A1" s="1" t="s">
        <v>147</v>
      </c>
    </row>
    <row r="2" customFormat="false" ht="15" hidden="false" customHeight="false" outlineLevel="0" collapsed="false">
      <c r="A2" s="2" t="s">
        <v>148</v>
      </c>
    </row>
    <row r="3" customFormat="false" ht="15" hidden="false" customHeight="false" outlineLevel="0" collapsed="false">
      <c r="A3" s="5" t="s">
        <v>149</v>
      </c>
      <c r="B3" s="5" t="s">
        <v>150</v>
      </c>
      <c r="C3" s="5" t="s">
        <v>53</v>
      </c>
      <c r="D3" s="5" t="s">
        <v>54</v>
      </c>
    </row>
    <row r="4" customFormat="false" ht="15" hidden="false" customHeight="false" outlineLevel="0" collapsed="false">
      <c r="A4" s="27" t="s">
        <v>151</v>
      </c>
      <c r="B4" s="27" t="s">
        <v>152</v>
      </c>
      <c r="C4" s="28"/>
      <c r="D4" s="29"/>
    </row>
    <row r="5" customFormat="false" ht="15" hidden="false" customHeight="false" outlineLevel="0" collapsed="false">
      <c r="A5" s="6" t="s">
        <v>153</v>
      </c>
      <c r="B5" s="6" t="s">
        <v>154</v>
      </c>
      <c r="C5" s="13" t="n">
        <v>1200000</v>
      </c>
      <c r="D5" s="6" t="s">
        <v>155</v>
      </c>
    </row>
    <row r="6" customFormat="false" ht="15" hidden="false" customHeight="false" outlineLevel="0" collapsed="false">
      <c r="A6" s="6" t="s">
        <v>156</v>
      </c>
      <c r="B6" s="6" t="s">
        <v>157</v>
      </c>
      <c r="C6" s="13" t="n">
        <v>300000</v>
      </c>
      <c r="D6" s="6" t="s">
        <v>155</v>
      </c>
    </row>
    <row r="7" customFormat="false" ht="15" hidden="false" customHeight="false" outlineLevel="0" collapsed="false">
      <c r="A7" s="6" t="s">
        <v>158</v>
      </c>
      <c r="B7" s="6" t="s">
        <v>159</v>
      </c>
      <c r="C7" s="13" t="n">
        <v>120000</v>
      </c>
      <c r="D7" s="6" t="s">
        <v>155</v>
      </c>
    </row>
    <row r="8" customFormat="false" ht="15" hidden="false" customHeight="false" outlineLevel="0" collapsed="false">
      <c r="A8" s="6" t="s">
        <v>160</v>
      </c>
      <c r="B8" s="6" t="s">
        <v>161</v>
      </c>
      <c r="C8" s="13" t="n">
        <v>510000</v>
      </c>
      <c r="D8" s="6" t="s">
        <v>155</v>
      </c>
    </row>
    <row r="9" customFormat="false" ht="15" hidden="false" customHeight="false" outlineLevel="0" collapsed="false">
      <c r="A9" s="6" t="s">
        <v>162</v>
      </c>
      <c r="B9" s="6" t="s">
        <v>163</v>
      </c>
      <c r="C9" s="13" t="n">
        <v>300000</v>
      </c>
      <c r="D9" s="6" t="s">
        <v>155</v>
      </c>
    </row>
    <row r="10" customFormat="false" ht="15" hidden="false" customHeight="false" outlineLevel="0" collapsed="false">
      <c r="A10" s="27" t="s">
        <v>164</v>
      </c>
      <c r="B10" s="27" t="s">
        <v>165</v>
      </c>
      <c r="C10" s="28"/>
      <c r="D10" s="29" t="s">
        <v>166</v>
      </c>
    </row>
    <row r="11" customFormat="false" ht="15" hidden="false" customHeight="false" outlineLevel="0" collapsed="false">
      <c r="A11" s="6" t="s">
        <v>167</v>
      </c>
      <c r="B11" s="6" t="s">
        <v>168</v>
      </c>
      <c r="C11" s="30"/>
      <c r="D11" s="6"/>
    </row>
    <row r="12" customFormat="false" ht="15" hidden="false" customHeight="false" outlineLevel="0" collapsed="false">
      <c r="A12" s="6" t="s">
        <v>169</v>
      </c>
      <c r="B12" s="6" t="s">
        <v>170</v>
      </c>
      <c r="C12" s="30"/>
      <c r="D12" s="6"/>
    </row>
    <row r="13" customFormat="false" ht="15" hidden="false" customHeight="false" outlineLevel="0" collapsed="false">
      <c r="A13" s="6" t="s">
        <v>171</v>
      </c>
      <c r="B13" s="6" t="s">
        <v>172</v>
      </c>
      <c r="C13" s="30"/>
      <c r="D13" s="6"/>
    </row>
    <row r="14" customFormat="false" ht="15" hidden="false" customHeight="false" outlineLevel="0" collapsed="false">
      <c r="A14" s="6" t="s">
        <v>173</v>
      </c>
      <c r="B14" s="6" t="s">
        <v>174</v>
      </c>
      <c r="C14" s="30"/>
      <c r="D14" s="6"/>
    </row>
    <row r="15" customFormat="false" ht="15" hidden="false" customHeight="false" outlineLevel="0" collapsed="false">
      <c r="A15" s="6" t="s">
        <v>175</v>
      </c>
      <c r="B15" s="6" t="s">
        <v>176</v>
      </c>
      <c r="C15" s="30"/>
      <c r="D15" s="6"/>
    </row>
    <row r="16" customFormat="false" ht="15" hidden="false" customHeight="false" outlineLevel="0" collapsed="false">
      <c r="A16" s="6" t="s">
        <v>177</v>
      </c>
      <c r="B16" s="6" t="s">
        <v>178</v>
      </c>
      <c r="C16" s="30"/>
      <c r="D16" s="6"/>
    </row>
    <row r="17" customFormat="false" ht="15" hidden="false" customHeight="false" outlineLevel="0" collapsed="false">
      <c r="A17" s="6" t="s">
        <v>179</v>
      </c>
      <c r="B17" s="6" t="s">
        <v>180</v>
      </c>
      <c r="C17" s="30"/>
      <c r="D17" s="6"/>
    </row>
    <row r="18" customFormat="false" ht="15" hidden="false" customHeight="false" outlineLevel="0" collapsed="false">
      <c r="A18" s="6" t="s">
        <v>181</v>
      </c>
      <c r="B18" s="6" t="s">
        <v>182</v>
      </c>
      <c r="C18" s="30"/>
      <c r="D18" s="6"/>
    </row>
    <row r="19" customFormat="false" ht="15" hidden="false" customHeight="false" outlineLevel="0" collapsed="false">
      <c r="A19" s="27" t="s">
        <v>183</v>
      </c>
      <c r="B19" s="27" t="s">
        <v>184</v>
      </c>
      <c r="C19" s="28"/>
      <c r="D19" s="29" t="s">
        <v>185</v>
      </c>
    </row>
    <row r="20" customFormat="false" ht="15" hidden="false" customHeight="false" outlineLevel="0" collapsed="false">
      <c r="A20" s="27" t="s">
        <v>186</v>
      </c>
      <c r="B20" s="27" t="s">
        <v>187</v>
      </c>
      <c r="C20" s="28"/>
      <c r="D20" s="29" t="s">
        <v>188</v>
      </c>
    </row>
    <row r="21" customFormat="false" ht="15" hidden="false" customHeight="false" outlineLevel="0" collapsed="false">
      <c r="A21" s="6" t="s">
        <v>189</v>
      </c>
      <c r="B21" s="6" t="s">
        <v>190</v>
      </c>
      <c r="C21" s="19" t="n">
        <f aca="false">Capex!C19</f>
        <v>16506000</v>
      </c>
      <c r="D21" s="6" t="s">
        <v>191</v>
      </c>
    </row>
    <row r="22" customFormat="false" ht="15" hidden="false" customHeight="false" outlineLevel="0" collapsed="false">
      <c r="A22" s="6" t="s">
        <v>192</v>
      </c>
      <c r="B22" s="6" t="s">
        <v>193</v>
      </c>
      <c r="C22" s="19" t="n">
        <f aca="false">CashFlow!C13</f>
        <v>1640200</v>
      </c>
      <c r="D22" s="6" t="s">
        <v>194</v>
      </c>
    </row>
    <row r="23" customFormat="false" ht="15" hidden="false" customHeight="false" outlineLevel="0" collapsed="false">
      <c r="A23" s="27" t="s">
        <v>195</v>
      </c>
      <c r="B23" s="27" t="s">
        <v>196</v>
      </c>
      <c r="C23" s="28"/>
      <c r="D23" s="29" t="s">
        <v>197</v>
      </c>
    </row>
    <row r="24" customFormat="false" ht="15" hidden="false" customHeight="false" outlineLevel="0" collapsed="false">
      <c r="A24" s="6" t="s">
        <v>198</v>
      </c>
      <c r="B24" s="6" t="s">
        <v>199</v>
      </c>
      <c r="C24" s="30"/>
      <c r="D24" s="6"/>
    </row>
    <row r="25" customFormat="false" ht="15" hidden="false" customHeight="false" outlineLevel="0" collapsed="false">
      <c r="A25" s="6" t="s">
        <v>200</v>
      </c>
      <c r="B25" s="6" t="s">
        <v>201</v>
      </c>
      <c r="C25" s="30"/>
      <c r="D25" s="6"/>
    </row>
    <row r="26" customFormat="false" ht="15" hidden="false" customHeight="false" outlineLevel="0" collapsed="false">
      <c r="A26" s="6" t="s">
        <v>202</v>
      </c>
      <c r="B26" s="6" t="s">
        <v>203</v>
      </c>
      <c r="C26" s="30"/>
      <c r="D26" s="6"/>
    </row>
    <row r="28" customFormat="false" ht="15" hidden="false" customHeight="false" outlineLevel="0" collapsed="false">
      <c r="B28" s="15" t="s">
        <v>204</v>
      </c>
      <c r="C28" s="31" t="n">
        <f aca="false">SUM(C5:C9)</f>
        <v>2430000</v>
      </c>
    </row>
    <row r="29" customFormat="false" ht="15" hidden="false" customHeight="false" outlineLevel="0" collapsed="false">
      <c r="B29" s="15" t="s">
        <v>205</v>
      </c>
      <c r="C29" s="31" t="n">
        <f aca="false">SUM(C11:C18)</f>
        <v>0</v>
      </c>
    </row>
    <row r="30" customFormat="false" ht="15" hidden="false" customHeight="false" outlineLevel="0" collapsed="false">
      <c r="B30" s="15" t="s">
        <v>206</v>
      </c>
      <c r="C30" s="31" t="n">
        <f aca="false">SUM(C21:C22)</f>
        <v>18146200</v>
      </c>
    </row>
    <row r="31" customFormat="false" ht="15" hidden="false" customHeight="false" outlineLevel="0" collapsed="false">
      <c r="B31" s="15" t="s">
        <v>207</v>
      </c>
      <c r="C31" s="31" t="n">
        <f aca="false">SUM(C24:C26)</f>
        <v>0</v>
      </c>
    </row>
    <row r="32" customFormat="false" ht="15" hidden="false" customHeight="false" outlineLevel="0" collapsed="false">
      <c r="B32" s="15" t="s">
        <v>208</v>
      </c>
      <c r="C32" s="16" t="n">
        <f aca="false">C28+C30</f>
        <v>20576200</v>
      </c>
    </row>
    <row r="33" customFormat="false" ht="15" hidden="false" customHeight="false" outlineLevel="0" collapsed="false">
      <c r="B33" s="15" t="s">
        <v>209</v>
      </c>
      <c r="C33" s="32" t="n">
        <f aca="false">SUM(C28:C31)</f>
        <v>20576200</v>
      </c>
      <c r="D33" s="33" t="s">
        <v>210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2026-09-28T06:37:52Z</dcterms:created>
  <dc:creator>openpyxl</dc:creator>
  <dc:description/>
  <dc:language>en-US</dc:language>
  <cp:lastModifiedBy/>
  <dcterms:modified xsi:type="dcterms:W3CDTF">2026-09-28T06:37:52Z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